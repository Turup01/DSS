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acer\Downloads\"/>
    </mc:Choice>
  </mc:AlternateContent>
  <xr:revisionPtr revIDLastSave="0" documentId="13_ncr:1_{1F13825D-EA10-4AF3-BF8A-9B8FF5E8E39C}" xr6:coauthVersionLast="47" xr6:coauthVersionMax="47" xr10:uidLastSave="{00000000-0000-0000-0000-000000000000}"/>
  <bookViews>
    <workbookView xWindow="0" yWindow="360" windowWidth="20730" windowHeight="11040" tabRatio="500" activeTab="2" xr2:uid="{00000000-000D-0000-FFFF-FFFF00000000}"/>
  </bookViews>
  <sheets>
    <sheet name="ReadMe" sheetId="1" r:id="rId1"/>
    <sheet name="Inputs" sheetId="2" r:id="rId2"/>
    <sheet name="Model" sheetId="3" r:id="rId3"/>
    <sheet name="Strategy Comparison" sheetId="4" r:id="rId4"/>
    <sheet name="Sensitivity" sheetId="5" r:id="rId5"/>
  </sheets>
  <definedNames>
    <definedName name="Acuity_E">Inputs!$B$12</definedName>
    <definedName name="Acuity_M">Inputs!$B$11</definedName>
    <definedName name="Acuity_N">Inputs!$B$13</definedName>
    <definedName name="Arr_E">Inputs!$B$6</definedName>
    <definedName name="Arr_M">Inputs!$B$5</definedName>
    <definedName name="Arr_N">Inputs!$B$7</definedName>
    <definedName name="Avail_Doc">Inputs!$B$28</definedName>
    <definedName name="Avail_Nurse">Inputs!$B$29</definedName>
    <definedName name="Avail_Tech">Inputs!$B$30</definedName>
    <definedName name="BedCostPerBed">Inputs!$B$40</definedName>
    <definedName name="BedHr_E">Inputs!$B$15</definedName>
    <definedName name="BedHr_M">Inputs!$B$14</definedName>
    <definedName name="BedHr_N">Inputs!$B$16</definedName>
    <definedName name="BedsAdded">Inputs!$B$41</definedName>
    <definedName name="BedsCurrent">Inputs!$B$38</definedName>
    <definedName name="BedsMax">Inputs!$B$39</definedName>
    <definedName name="Cap_Doc">Inputs!$B$19</definedName>
    <definedName name="Cap_Nurse">Inputs!$B$20</definedName>
    <definedName name="Cap_Tech">Inputs!$B$21</definedName>
    <definedName name="DivertShare">Inputs!$B$55</definedName>
    <definedName name="DocAbsence">Inputs!$B$61</definedName>
    <definedName name="DocUnavail">Inputs!$B$64</definedName>
    <definedName name="ImgBase">Inputs!$B$42</definedName>
    <definedName name="ImgExpAdd">Inputs!$B$43</definedName>
    <definedName name="ImgExpCost">Inputs!$B$44</definedName>
    <definedName name="ImgExpOn">Inputs!$B$45</definedName>
    <definedName name="IncidentOn">Inputs!$B$58</definedName>
    <definedName name="IncidentSeverity">Inputs!$B$60</definedName>
    <definedName name="IncidentShiftNum">Inputs!$B$59</definedName>
    <definedName name="LabBase">Inputs!$B$46</definedName>
    <definedName name="LabExpAdd">Inputs!$B$47</definedName>
    <definedName name="LabExpCost">Inputs!$B$48</definedName>
    <definedName name="LabExpOn">Inputs!$B$49</definedName>
    <definedName name="NurseAbsence">Inputs!$B$62</definedName>
    <definedName name="NurseUnavail">Inputs!$B$65</definedName>
    <definedName name="OTCapPct">Inputs!$B$34</definedName>
    <definedName name="OTCost_Doc">Inputs!$B$25</definedName>
    <definedName name="OTCost_Nurse">Inputs!$B$26</definedName>
    <definedName name="OTCost_Tech">Inputs!$B$27</definedName>
    <definedName name="PenBedHr">Inputs!$B$54</definedName>
    <definedName name="PenDiverted">Inputs!$B$53</definedName>
    <definedName name="PenUncovered">Inputs!$B$52</definedName>
    <definedName name="RegCost_Doc">Inputs!$B$22</definedName>
    <definedName name="RegCost_Nurse">Inputs!$B$23</definedName>
    <definedName name="RegCost_Tech">Inputs!$B$24</definedName>
    <definedName name="SD_E">Inputs!$B$9</definedName>
    <definedName name="SD_M">Inputs!$B$8</definedName>
    <definedName name="SD_N">Inputs!$B$10</definedName>
    <definedName name="ServiceTarget">Inputs!$B$33</definedName>
    <definedName name="ShiftHours">Inputs!$B$35</definedName>
    <definedName name="TechAbsence">Inputs!$B$63</definedName>
    <definedName name="TechUnavail">Inputs!$B$66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8" i="5" l="1"/>
  <c r="B28" i="5"/>
  <c r="D28" i="5" s="1"/>
  <c r="C27" i="5"/>
  <c r="B27" i="5"/>
  <c r="D27" i="5" s="1"/>
  <c r="C26" i="5"/>
  <c r="B26" i="5"/>
  <c r="D26" i="5" s="1"/>
  <c r="C25" i="5"/>
  <c r="B25" i="5"/>
  <c r="D25" i="5" s="1"/>
  <c r="C24" i="5"/>
  <c r="B24" i="5"/>
  <c r="D24" i="5" s="1"/>
  <c r="D20" i="5"/>
  <c r="C20" i="5"/>
  <c r="B20" i="5"/>
  <c r="D19" i="5"/>
  <c r="C19" i="5"/>
  <c r="B19" i="5"/>
  <c r="D18" i="5"/>
  <c r="C18" i="5"/>
  <c r="B18" i="5"/>
  <c r="D17" i="5"/>
  <c r="C17" i="5"/>
  <c r="B17" i="5"/>
  <c r="D16" i="5"/>
  <c r="C16" i="5"/>
  <c r="B16" i="5"/>
  <c r="D15" i="5"/>
  <c r="C15" i="5"/>
  <c r="B15" i="5"/>
  <c r="D11" i="5"/>
  <c r="C11" i="5"/>
  <c r="B11" i="5"/>
  <c r="D10" i="5"/>
  <c r="C10" i="5"/>
  <c r="B10" i="5"/>
  <c r="D9" i="5"/>
  <c r="C9" i="5"/>
  <c r="B9" i="5"/>
  <c r="D8" i="5"/>
  <c r="C8" i="5"/>
  <c r="B8" i="5"/>
  <c r="D7" i="5"/>
  <c r="C7" i="5"/>
  <c r="B7" i="5"/>
  <c r="D6" i="5"/>
  <c r="C6" i="5"/>
  <c r="B6" i="5"/>
  <c r="D13" i="4"/>
  <c r="C13" i="4"/>
  <c r="B13" i="4"/>
  <c r="D12" i="4"/>
  <c r="C12" i="4"/>
  <c r="B12" i="4"/>
  <c r="D11" i="4"/>
  <c r="C11" i="4"/>
  <c r="B11" i="4"/>
  <c r="B45" i="3"/>
  <c r="B63" i="3" s="1"/>
  <c r="G43" i="3"/>
  <c r="D43" i="3"/>
  <c r="B43" i="3"/>
  <c r="G42" i="3"/>
  <c r="D42" i="3"/>
  <c r="B42" i="3"/>
  <c r="G41" i="3"/>
  <c r="D41" i="3"/>
  <c r="B41" i="3"/>
  <c r="B37" i="3"/>
  <c r="B62" i="3" s="1"/>
  <c r="D35" i="3"/>
  <c r="C35" i="3"/>
  <c r="B35" i="3"/>
  <c r="D34" i="3"/>
  <c r="C34" i="3"/>
  <c r="B34" i="3"/>
  <c r="D33" i="3"/>
  <c r="D36" i="3" s="1"/>
  <c r="C33" i="3"/>
  <c r="B33" i="3"/>
  <c r="G27" i="3"/>
  <c r="B26" i="3"/>
  <c r="C26" i="3" s="1"/>
  <c r="B25" i="3"/>
  <c r="C25" i="3" s="1"/>
  <c r="B24" i="3"/>
  <c r="C24" i="3" s="1"/>
  <c r="G18" i="3"/>
  <c r="B17" i="3"/>
  <c r="C17" i="3" s="1"/>
  <c r="D17" i="3" s="1"/>
  <c r="B16" i="3"/>
  <c r="C16" i="3" s="1"/>
  <c r="D16" i="3" s="1"/>
  <c r="B15" i="3"/>
  <c r="C15" i="3" s="1"/>
  <c r="D15" i="3" s="1"/>
  <c r="G9" i="3"/>
  <c r="B8" i="3"/>
  <c r="C8" i="3" s="1"/>
  <c r="D8" i="3" s="1"/>
  <c r="B7" i="3"/>
  <c r="C7" i="3" s="1"/>
  <c r="D7" i="3" s="1"/>
  <c r="B6" i="3"/>
  <c r="C6" i="3" s="1"/>
  <c r="D6" i="3" s="1"/>
  <c r="E19" i="5" l="1"/>
  <c r="E15" i="5"/>
  <c r="E17" i="5"/>
  <c r="E16" i="5"/>
  <c r="E18" i="5"/>
  <c r="E10" i="5"/>
  <c r="E7" i="5"/>
  <c r="E9" i="5"/>
  <c r="E8" i="5"/>
  <c r="E6" i="5"/>
  <c r="D16" i="4"/>
  <c r="D14" i="4"/>
  <c r="D15" i="4" s="1"/>
  <c r="C16" i="4"/>
  <c r="C14" i="4"/>
  <c r="C15" i="4" s="1"/>
  <c r="B16" i="4"/>
  <c r="B14" i="4"/>
  <c r="B15" i="4" s="1"/>
  <c r="C43" i="3"/>
  <c r="E43" i="3" s="1"/>
  <c r="F51" i="3" s="1"/>
  <c r="F43" i="3"/>
  <c r="H43" i="3" s="1"/>
  <c r="G51" i="3" s="1"/>
  <c r="F42" i="3"/>
  <c r="H42" i="3" s="1"/>
  <c r="G50" i="3" s="1"/>
  <c r="C42" i="3"/>
  <c r="E42" i="3" s="1"/>
  <c r="F50" i="3" s="1"/>
  <c r="F41" i="3"/>
  <c r="H41" i="3" s="1"/>
  <c r="C41" i="3"/>
  <c r="E41" i="3" s="1"/>
  <c r="G35" i="3"/>
  <c r="E51" i="3" s="1"/>
  <c r="E35" i="3"/>
  <c r="F35" i="3" s="1"/>
  <c r="G34" i="3"/>
  <c r="E50" i="3" s="1"/>
  <c r="E34" i="3"/>
  <c r="F34" i="3" s="1"/>
  <c r="E33" i="3"/>
  <c r="G33" i="3"/>
  <c r="E17" i="3"/>
  <c r="E16" i="3"/>
  <c r="E15" i="3"/>
  <c r="E18" i="3" s="1"/>
  <c r="G19" i="3" s="1"/>
  <c r="D18" i="3"/>
  <c r="I18" i="3" s="1"/>
  <c r="E8" i="3"/>
  <c r="E7" i="3"/>
  <c r="D9" i="3"/>
  <c r="I9" i="3" s="1"/>
  <c r="F7" i="3" s="1"/>
  <c r="E6" i="3"/>
  <c r="E9" i="3" s="1"/>
  <c r="G10" i="3" s="1"/>
  <c r="F16" i="3" l="1"/>
  <c r="G49" i="3"/>
  <c r="G56" i="3" s="1"/>
  <c r="H44" i="3"/>
  <c r="E44" i="3"/>
  <c r="F49" i="3"/>
  <c r="F56" i="3" s="1"/>
  <c r="E36" i="3"/>
  <c r="B73" i="3" s="1"/>
  <c r="F33" i="3"/>
  <c r="F36" i="3" s="1"/>
  <c r="B66" i="3" s="1"/>
  <c r="E49" i="3"/>
  <c r="E56" i="3" s="1"/>
  <c r="G36" i="3"/>
  <c r="G16" i="3"/>
  <c r="H16" i="3" s="1"/>
  <c r="F15" i="3"/>
  <c r="F6" i="3"/>
  <c r="F8" i="3" s="1"/>
  <c r="G6" i="3"/>
  <c r="H7" i="3"/>
  <c r="H6" i="3"/>
  <c r="G7" i="3"/>
  <c r="G8" i="3" l="1"/>
  <c r="H8" i="3"/>
  <c r="I8" i="3"/>
  <c r="D26" i="3"/>
  <c r="I6" i="3"/>
  <c r="D24" i="3"/>
  <c r="B11" i="3"/>
  <c r="B60" i="3" s="1"/>
  <c r="I7" i="3"/>
  <c r="D25" i="3"/>
  <c r="I16" i="3"/>
  <c r="F17" i="3"/>
  <c r="G15" i="3"/>
  <c r="H15" i="3" s="1"/>
  <c r="J8" i="3" l="1"/>
  <c r="C51" i="3"/>
  <c r="E26" i="3"/>
  <c r="J6" i="3"/>
  <c r="C49" i="3"/>
  <c r="D27" i="3"/>
  <c r="I27" i="3" s="1"/>
  <c r="E24" i="3"/>
  <c r="C50" i="3"/>
  <c r="J7" i="3"/>
  <c r="E25" i="3"/>
  <c r="J16" i="3"/>
  <c r="D50" i="3"/>
  <c r="G17" i="3"/>
  <c r="H17" i="3"/>
  <c r="B20" i="3"/>
  <c r="B61" i="3" s="1"/>
  <c r="I15" i="3"/>
  <c r="F25" i="3" l="1"/>
  <c r="F24" i="3"/>
  <c r="F26" i="3" s="1"/>
  <c r="D49" i="3"/>
  <c r="J15" i="3"/>
  <c r="C56" i="3"/>
  <c r="E27" i="3"/>
  <c r="G28" i="3" s="1"/>
  <c r="I17" i="3"/>
  <c r="G26" i="3" l="1"/>
  <c r="H26" i="3" s="1"/>
  <c r="G25" i="3"/>
  <c r="H25" i="3" s="1"/>
  <c r="G24" i="3"/>
  <c r="H24" i="3" s="1"/>
  <c r="D51" i="3"/>
  <c r="D56" i="3" s="1"/>
  <c r="J17" i="3"/>
  <c r="I24" i="3" l="1"/>
  <c r="B29" i="3"/>
  <c r="I26" i="3"/>
  <c r="I25" i="3"/>
  <c r="J24" i="3" l="1"/>
  <c r="B49" i="3"/>
  <c r="B59" i="3"/>
  <c r="B72" i="3"/>
  <c r="J26" i="3"/>
  <c r="B51" i="3"/>
  <c r="H51" i="3" s="1"/>
  <c r="B50" i="3"/>
  <c r="H50" i="3" s="1"/>
  <c r="J25" i="3"/>
  <c r="H49" i="3" l="1"/>
  <c r="B56" i="3"/>
  <c r="B55" i="3" s="1"/>
  <c r="B77" i="3" s="1"/>
  <c r="I51" i="3"/>
  <c r="J51" i="3" s="1"/>
  <c r="I50" i="3"/>
  <c r="J50" i="3" s="1"/>
  <c r="B54" i="3" l="1"/>
  <c r="B76" i="3" s="1"/>
  <c r="H52" i="3"/>
  <c r="B71" i="3" s="1"/>
  <c r="I49" i="3"/>
  <c r="I52" i="3" l="1"/>
  <c r="J49" i="3"/>
  <c r="J52" i="3" s="1"/>
  <c r="B64" i="3" l="1"/>
  <c r="B75" i="3"/>
  <c r="B65" i="3"/>
  <c r="B74" i="3"/>
  <c r="B67" i="3" l="1"/>
  <c r="B70" i="3" s="1"/>
</calcChain>
</file>

<file path=xl/sharedStrings.xml><?xml version="1.0" encoding="utf-8"?>
<sst xmlns="http://schemas.openxmlformats.org/spreadsheetml/2006/main" count="242" uniqueCount="184">
  <si>
    <t>Metro Care Hospital — AI-Enabled Decision Support System (DSS)</t>
  </si>
  <si>
    <t>HOW TO USE THIS WORKBOOK</t>
  </si>
  <si>
    <t>1. Go to the Inputs sheet. Every blue cell is a lever you can change: arrivals, staff available, service target, beds added, imaging/lab expansion, penalties, and what-if toggles (incident, absence, 'mark resource unavailable').</t>
  </si>
  <si>
    <t>2. Open the Model sheet. Every number there recalculates automatically — staffing plan, cost, coverage %, the riskiest shift/resource, and the full daily cost build-up. This is the exact shift-by-shift solution for whatever policy you've set on Inputs.</t>
  </si>
  <si>
    <t>3. Open Strategy Comparison to see three managerial philosophies side by side (Cost-Minimum / Balanced / Resilient) at a strategic (approximate) level — change the levers at the top of each column freely.</t>
  </si>
  <si>
    <t>4. Open Sensitivity to see how the recommendation moves as the Service Target, Overtime Cap, and the Uncovered-Patient Penalty change, and whether expanding beds pays for itself.</t>
  </si>
  <si>
    <t>HOW THE MODEL SOLVES THE STAFFING PROBLEM (Model sheet)</t>
  </si>
  <si>
    <t>For each resource (Doctor/Nurse/Technician), the required regular headcount per shift is computed from acuity-adjusted demand at the service target. Because staff work only one shift/day but overtime is shift-local, the model first checks whether the shared staff pool covers every shift's own requirement; if not, it reduces the shift(s) with the most slack (Evening, then Morning, then Night — Night's clinical floor of 4 doctors is protected last) and backfills the gap with overtime, up to the OT cap. Beds, imaging and lab capacity are evaluated per shift (capacity does not carry over between shifts). The shift's overall unmet demand is the LARGEST of its doctor/nurse/technician/bed/imaging/lab shortfall — a 'weakest link' reflecting the case's point that fixing one resource alone may just move the bottleneck elsewhere.</t>
  </si>
  <si>
    <t>KEY ASSUMPTIONS (stated explicitly — change them on the Inputs sheet if you disagree)</t>
  </si>
  <si>
    <t>• Shift length = 8 hours (3 shifts = 24-hr day) — not stated in the case brief.</t>
  </si>
  <si>
    <t>• Imaging demand ≈ high-acuity patients that shift; Lab demand ≈ all patients that shift.</t>
  </si>
  <si>
    <t>• Of any shortfall beyond the service target, a stated share (Inputs!DivertShare, default 30%) becomes an actual diversion (₹9,500 penalty); the rest is 'not covered' (₹6,000 penalty).</t>
  </si>
  <si>
    <t>• The Strategy Comparison and Sensitivity sheets use a compact aggregate approximation (sum of per-shift ceilings, not the full reduction cascade) — directionally consistent with the Model sheet, but for the certified exact answer under one specific policy, read the Model tab.</t>
  </si>
  <si>
    <t>CROSS-CHECKING WITH EXCEL SOLVER</t>
  </si>
  <si>
    <t>This workbook is fully formula-driven so it updates instantly with no macro or Solver run required. To obtain a certified LP/ILP-OPTIMAL cross-check (rather than the reduction-cascade heuristic used here), set up Solver as follows: Target cell = Model!B[total daily cost row] (minimize); Changing cells = the Regular staff (x) and Overtime (o) columns for all three resource blocks, plus Inputs!BedsAdded, Inputs!ImgExpOn, Inputs!LabExpOn; Constraints = each shift's capacity ≥ its requirement, the OT cap (o ≤ OTCapPct×x per shift), the doctor:nurse ratio, min 2 technicians, min 4 night doctors, and the shared staff-pool totals ≤ Available. Use this to confirm the heuristic plan on the Model sheet is optimal, and to report the shadow price on the bed/imaging/lab constraints for Task 3.</t>
  </si>
  <si>
    <t>WHAT-IF TOGGLES BUILT IN</t>
  </si>
  <si>
    <t>• Change any arrival mean, or trigger 'City-wide incident' for a specific shift, to stress-test the plan.</t>
  </si>
  <si>
    <t>• Mark a resource 'entirely unavailable', or dial in an absence rate, to simulate a bad day.</t>
  </si>
  <si>
    <t>• Change Service Target / Overtime Cap / Beds Added / Imaging &amp; Lab expansion toggles to explore policy.</t>
  </si>
  <si>
    <t>SUGGESTED AI-EXPLANATION LAYER (for the live demo)</t>
  </si>
  <si>
    <t>Pair this workbook with a short natural-language layer (e.g., paste the KPI Dashboard values into an LLM prompt template) that explains WHY a number changed — e.g., 'Doctors' overtime increased because Evening acuity-weighted demand rose above the regular-staff ceiling.' The AI should explain the evidence already computed here — never generate the recommendation itself.</t>
  </si>
  <si>
    <t>1. Arrivals &amp; Case Mix (Exhibit 1)</t>
  </si>
  <si>
    <t>Morning mean arrivals</t>
  </si>
  <si>
    <t>Evening mean arrivals</t>
  </si>
  <si>
    <t>Night mean arrivals</t>
  </si>
  <si>
    <t>Morning arrivals std dev</t>
  </si>
  <si>
    <t>Evening arrivals std dev</t>
  </si>
  <si>
    <t>Night arrivals std dev</t>
  </si>
  <si>
    <t>Morning high-acuity share</t>
  </si>
  <si>
    <t>Evening high-acuity share</t>
  </si>
  <si>
    <t>Night high-acuity share</t>
  </si>
  <si>
    <t>Morning avg bed-hours/patient</t>
  </si>
  <si>
    <t>Evening avg bed-hours/patient</t>
  </si>
  <si>
    <t>Night avg bed-hours/patient</t>
  </si>
  <si>
    <t>2. Resource Productivity, Cost &amp; Availability (Exhibit 2)</t>
  </si>
  <si>
    <t>Doctor patients/shift capacity</t>
  </si>
  <si>
    <t>Nurse patients/shift capacity</t>
  </si>
  <si>
    <t>Technician patients/shift capacity</t>
  </si>
  <si>
    <t>Doctor regular cost / shift</t>
  </si>
  <si>
    <t>Nurse regular cost / shift</t>
  </si>
  <si>
    <t>Technician regular cost / shift</t>
  </si>
  <si>
    <t>Doctor overtime cost / shift</t>
  </si>
  <si>
    <t>Nurse overtime cost / shift</t>
  </si>
  <si>
    <t>Technician overtime cost / shift</t>
  </si>
  <si>
    <t>Doctors available (total pool)</t>
  </si>
  <si>
    <t>Nurses available (total pool)</t>
  </si>
  <si>
    <t>Technicians available (total pool)</t>
  </si>
  <si>
    <t>3. Policy Levers</t>
  </si>
  <si>
    <t>Service target (% of arrivals covered)</t>
  </si>
  <si>
    <t>Overtime cap (% of regular staff)</t>
  </si>
  <si>
    <t>Shift length (hours) [assumption]</t>
  </si>
  <si>
    <t>4. Beds &amp; Diagnostics (Exhibit 3)</t>
  </si>
  <si>
    <t>Current beds</t>
  </si>
  <si>
    <t>Max beds</t>
  </si>
  <si>
    <t>Cost per added bed / day</t>
  </si>
  <si>
    <t>BEDS ADDED (0-10)</t>
  </si>
  <si>
    <t>Imaging base capacity/shift</t>
  </si>
  <si>
    <t>Imaging expansion size</t>
  </si>
  <si>
    <t>Imaging expansion cost/day</t>
  </si>
  <si>
    <t>EXPAND IMAGING? (1=yes,0=no)</t>
  </si>
  <si>
    <t>Lab base capacity/shift</t>
  </si>
  <si>
    <t>Lab expansion size</t>
  </si>
  <si>
    <t>Lab expansion cost/day</t>
  </si>
  <si>
    <t>EXPAND LAB? (1=yes,0=no)</t>
  </si>
  <si>
    <t>5. Shortage Penalties (Exhibit 4)</t>
  </si>
  <si>
    <t>Penalty: patient not covered</t>
  </si>
  <si>
    <t>Penalty: patient diverted</t>
  </si>
  <si>
    <t>Penalty: bed-hour shortfall</t>
  </si>
  <si>
    <t>Share of uncovered patients that become diversions [assumption]</t>
  </si>
  <si>
    <t>6. Disruptions / What-if Toggles</t>
  </si>
  <si>
    <t>City-wide incident today? (1=yes,0=no)</t>
  </si>
  <si>
    <t>Incident hits which shift? (1=Morning,2=Evening,3=Night)</t>
  </si>
  <si>
    <t>Incident severity (arrival increase %)</t>
  </si>
  <si>
    <t>Doctor absence rate override</t>
  </si>
  <si>
    <t>Nurse absence rate override</t>
  </si>
  <si>
    <t>Technician absence rate override</t>
  </si>
  <si>
    <t>Mark Doctors entirely unavailable? (1/0)</t>
  </si>
  <si>
    <t>Mark Nurses entirely unavailable? (1/0)</t>
  </si>
  <si>
    <t>Mark Technicians entirely unavailable? (1/0)</t>
  </si>
  <si>
    <t>Staffing &amp; Capacity Model (live — recalculates from Inputs sheet)</t>
  </si>
  <si>
    <t>NURSE STAFFING</t>
  </si>
  <si>
    <t>Shift</t>
  </si>
  <si>
    <t>Adj. Arrivals</t>
  </si>
  <si>
    <t>Demand</t>
  </si>
  <si>
    <t>Req (@ target)</t>
  </si>
  <si>
    <t>x_min
(max OT)</t>
  </si>
  <si>
    <t>Reduction</t>
  </si>
  <si>
    <t>Regular
staff (x)</t>
  </si>
  <si>
    <t>Overtime
(o)</t>
  </si>
  <si>
    <t>Unmet
(headcount)</t>
  </si>
  <si>
    <t>Unmet
(patients)</t>
  </si>
  <si>
    <t>Morning</t>
  </si>
  <si>
    <t>Evening</t>
  </si>
  <si>
    <t>Night</t>
  </si>
  <si>
    <t>POOL</t>
  </si>
  <si>
    <t>Eff. Avail →</t>
  </si>
  <si>
    <t>Shortfall →</t>
  </si>
  <si>
    <t>Final short →</t>
  </si>
  <si>
    <t>Labor cost (reg+OT)</t>
  </si>
  <si>
    <t>TECHNICIAN STAFFING</t>
  </si>
  <si>
    <t>DOCTOR STAFFING</t>
  </si>
  <si>
    <t>BED CAPACITY</t>
  </si>
  <si>
    <t>Bed Capacity
(patients)</t>
  </si>
  <si>
    <t>Bed-Hrs
Available</t>
  </si>
  <si>
    <t>Bed-Hrs
Needed</t>
  </si>
  <si>
    <t>Bed-Hr
Shortfall</t>
  </si>
  <si>
    <t>Unmet
(patients, beds)</t>
  </si>
  <si>
    <t>TOTAL</t>
  </si>
  <si>
    <t>Bed expansion cost</t>
  </si>
  <si>
    <t>DIAGNOSTIC CAPACITY (Imaging &amp; Lab)</t>
  </si>
  <si>
    <t>Imaging
Demand</t>
  </si>
  <si>
    <t>Imaging
Capacity</t>
  </si>
  <si>
    <t>Imaging Shortfall
(patients)</t>
  </si>
  <si>
    <t>Lab
Demand</t>
  </si>
  <si>
    <t>Lab
Capacity</t>
  </si>
  <si>
    <t>Lab Shortfall
(patients)</t>
  </si>
  <si>
    <t>Diagnostic expansion cost</t>
  </si>
  <si>
    <t>BOTTLENECK ANALYSIS — SYSTEM-WIDE UNMET DEMAND</t>
  </si>
  <si>
    <t>Doctor
Unmet</t>
  </si>
  <si>
    <t>Nurse
Unmet</t>
  </si>
  <si>
    <t>Tech
Unmet</t>
  </si>
  <si>
    <t>Bed
Unmet</t>
  </si>
  <si>
    <t>Imaging
Shortfall</t>
  </si>
  <si>
    <t>Lab
Shortfall</t>
  </si>
  <si>
    <t>Bottleneck
Unmet (pts)</t>
  </si>
  <si>
    <t>Diverted</t>
  </si>
  <si>
    <t>Not Covered
(only)</t>
  </si>
  <si>
    <t>TOTAL / DAY</t>
  </si>
  <si>
    <t>Riskiest shift:</t>
  </si>
  <si>
    <t>Riskiest resource/area:</t>
  </si>
  <si>
    <t>(helper: max unmet by category)</t>
  </si>
  <si>
    <t>TOTAL DAILY COST BUILD-UP</t>
  </si>
  <si>
    <t>Doctor labor (regular + OT)</t>
  </si>
  <si>
    <t>Nurse labor (regular + OT)</t>
  </si>
  <si>
    <t>Technician labor (regular + OT)</t>
  </si>
  <si>
    <t>Penalty — patients not covered</t>
  </si>
  <si>
    <t>Penalty — patients diverted</t>
  </si>
  <si>
    <t>Penalty — bed-hour shortfall</t>
  </si>
  <si>
    <t>TOTAL DAILY COST</t>
  </si>
  <si>
    <t>KPI DASHBOARD</t>
  </si>
  <si>
    <t>Total daily cost</t>
  </si>
  <si>
    <t>Expected arrivals covered (%)</t>
  </si>
  <si>
    <t>Overtime share of labor cost (%)</t>
  </si>
  <si>
    <t>Bed utilization (%)</t>
  </si>
  <si>
    <t>Expected diversions / day</t>
  </si>
  <si>
    <t>Expected patients not covered / day</t>
  </si>
  <si>
    <t>Riskiest shift</t>
  </si>
  <si>
    <t>Riskiest resource/area</t>
  </si>
  <si>
    <t>Strategy Comparison — Cost-Minimum vs Balanced vs Resilient</t>
  </si>
  <si>
    <t>Aggregate-level approximation for quick strategic comparison. For the exact optimal shift-by-shift staffing plan under any ONE of these policies, set the same Service Target / Beds Added / expansion toggles on the Inputs sheet and read the Model tab.</t>
  </si>
  <si>
    <t>Policy Lever</t>
  </si>
  <si>
    <t>Cost-Minimum</t>
  </si>
  <si>
    <t>Balanced (moderate buffer)</t>
  </si>
  <si>
    <t>Resilient (capacity-expanded)</t>
  </si>
  <si>
    <t>Service target</t>
  </si>
  <si>
    <t>Beds added</t>
  </si>
  <si>
    <t>Expand imaging? (1/0)</t>
  </si>
  <si>
    <t>Expand lab? (1/0)</t>
  </si>
  <si>
    <t>Resulting Cost &amp; Service Levels (approximate)</t>
  </si>
  <si>
    <t>Total labor cost (regular + OT)</t>
  </si>
  <si>
    <t>Capacity expansion cost (beds+diag)</t>
  </si>
  <si>
    <t>Est. uncovered patients / day</t>
  </si>
  <si>
    <t>Penalty cost (uncovered + diversion)</t>
  </si>
  <si>
    <t>TOTAL EXPECTED DAILY COST</t>
  </si>
  <si>
    <t>Est. arrival coverage (%)</t>
  </si>
  <si>
    <t>Sensitivity Analysis</t>
  </si>
  <si>
    <t>Each row below is a fully independent formula — change any Inputs-sheet cell and every row recalculates. All other levers are held at their CURRENT Inputs-sheet values except the one column being varied.</t>
  </si>
  <si>
    <t>1. Service Target Sensitivity (Task 6)</t>
  </si>
  <si>
    <t>Service Target</t>
  </si>
  <si>
    <t>Total Daily Cost</t>
  </si>
  <si>
    <t>Coverage %</t>
  </si>
  <si>
    <t>Uncovered Patients/Day</t>
  </si>
  <si>
    <t>Δ Cost vs Current</t>
  </si>
  <si>
    <t>CURRENT (Inputs sheet)</t>
  </si>
  <si>
    <t>2. Overtime Cap Sensitivity (Task 6)</t>
  </si>
  <si>
    <t>OT Cap (% of regular)</t>
  </si>
  <si>
    <t>3. Are Extra Beds Worth It? — Break-even vs the Uncovered-Patient Penalty (Task 3 &amp; 6)</t>
  </si>
  <si>
    <t>Penalty: patient not covered (₹)</t>
  </si>
  <si>
    <t>Total Cost — NO expansion</t>
  </si>
  <si>
    <t>Total Cost — WITH +10 beds</t>
  </si>
  <si>
    <t>Savings from expanding</t>
  </si>
  <si>
    <t>Tests adding the full +10 beds (Exhibit 3 max) against no expansion at all, at each candidate penalty value. Positive 'Savings from expanding' = beds pay for themselves at that penalty value. (This table uses a fixed +10 test case, independent of whatever BedsAdded is currently set to on the Inputs sheet — the KPI Dashboard on the Model tab reflects your actual current choice.)</t>
  </si>
  <si>
    <t>Note: with the Inputs-sheet default staff-availability numbers, the pool shortfall is small enough that even a 15% OT cap absorbs it — so Table 2 shows little movement. Lower 'Doctors available' on the Inputs sheet (e.g., to 13-14) to see the OT cap become a binding, cost-relevant lever.</t>
  </si>
  <si>
    <t>Metro Care Hospital — DSS Inputs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</si>
</sst>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
    <numFmt numFmtId="166" formatCode="0.0"/>
    <numFmt numFmtId="167" formatCode="\₹#,##0;&quot;(₹&quot;#,##0\)"/>
  </numFmts>
  <fonts count="12" x14ac:knownFonts="1">
    <font>
      <sz val="11"/>
      <color theme="1"/>
      <name val="Calibri"/>
      <family val="2"/>
      <charset val="1"/>
    </font>
    <font>
      <b/>
      <sz val="14"/>
      <color rgb="FF1F4E78"/>
      <name val="Arial"/>
      <family val="2"/>
    </font>
    <font>
      <sz val="10"/>
      <name val="Arial"/>
      <family val="2"/>
    </font>
    <font>
      <b/>
      <sz val="12"/>
      <color rgb="FF1F4E78"/>
      <name val="Arial"/>
      <family val="2"/>
    </font>
    <font>
      <i/>
      <sz val="9"/>
      <color rgb="FF808080"/>
      <name val="Arial"/>
      <family val="2"/>
    </font>
    <font>
      <sz val="10"/>
      <color rgb="FF000000"/>
      <name val="Arial"/>
      <family val="2"/>
    </font>
    <font>
      <sz val="11"/>
      <color rgb="FF0000FF"/>
      <name val="Arial"/>
      <family val="2"/>
    </font>
    <font>
      <b/>
      <sz val="11"/>
      <color rgb="FFFFFFFF"/>
      <name val="Arial"/>
      <family val="2"/>
    </font>
    <font>
      <b/>
      <sz val="11"/>
      <name val="Arial"/>
      <family val="2"/>
    </font>
    <font>
      <i/>
      <sz val="11"/>
      <name val="Arial"/>
      <family val="2"/>
    </font>
    <font>
      <b/>
      <i/>
      <sz val="11"/>
      <name val="Arial"/>
      <family val="2"/>
    </font>
    <font>
      <b/>
      <sz val="11"/>
      <color theme="1"/>
      <name val="Calibri"/>
      <family val="2"/>
    </font>
  </fonts>
  <fills count="6">
    <fill>
      <patternFill patternType="none"/>
    </fill>
    <fill>
      <patternFill patternType="gray125"/>
    </fill>
    <fill>
      <patternFill patternType="solid">
        <fgColor rgb="FFD9E1F2"/>
        <bgColor rgb="FFE2EFDA"/>
      </patternFill>
    </fill>
    <fill>
      <patternFill patternType="solid">
        <fgColor rgb="FFFFF2CC"/>
        <bgColor rgb="FFE2EFDA"/>
      </patternFill>
    </fill>
    <fill>
      <patternFill patternType="solid">
        <fgColor rgb="FF1F4E78"/>
        <bgColor rgb="FF003366"/>
      </patternFill>
    </fill>
    <fill>
      <patternFill patternType="solid">
        <fgColor rgb="FFE2EFDA"/>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9">
    <xf numFmtId="0" fontId="0" fillId="0" borderId="0" xfId="0"/>
    <xf numFmtId="0" fontId="1" fillId="0" borderId="0" xfId="0" applyFont="1"/>
    <xf numFmtId="0" fontId="2" fillId="0" borderId="0" xfId="0" applyFont="1" applyAlignment="1">
      <alignment vertical="top" wrapText="1"/>
    </xf>
    <xf numFmtId="0" fontId="3" fillId="0" borderId="0" xfId="0" applyFont="1"/>
    <xf numFmtId="0" fontId="4" fillId="0" borderId="0" xfId="0" applyFont="1"/>
    <xf numFmtId="0" fontId="3" fillId="2" borderId="0" xfId="0" applyFont="1" applyFill="1"/>
    <xf numFmtId="0" fontId="0" fillId="2" borderId="0" xfId="0" applyFill="1"/>
    <xf numFmtId="0" fontId="5" fillId="0" borderId="0" xfId="0" applyFont="1"/>
    <xf numFmtId="0" fontId="6" fillId="3" borderId="1" xfId="0" applyFont="1" applyFill="1" applyBorder="1"/>
    <xf numFmtId="164" fontId="6" fillId="3" borderId="1" xfId="0" applyNumberFormat="1" applyFont="1" applyFill="1" applyBorder="1"/>
    <xf numFmtId="165" fontId="6" fillId="3" borderId="1" xfId="0" applyNumberFormat="1" applyFont="1" applyFill="1" applyBorder="1"/>
    <xf numFmtId="9" fontId="6" fillId="3" borderId="1" xfId="0" applyNumberFormat="1" applyFont="1" applyFill="1" applyBorder="1"/>
    <xf numFmtId="0" fontId="7" fillId="4" borderId="0" xfId="0" applyFont="1" applyFill="1" applyAlignment="1">
      <alignment horizontal="center" vertical="center" wrapText="1"/>
    </xf>
    <xf numFmtId="0" fontId="0" fillId="0" borderId="1" xfId="0" applyBorder="1"/>
    <xf numFmtId="0" fontId="8" fillId="0" borderId="1" xfId="0" applyFont="1" applyBorder="1"/>
    <xf numFmtId="0" fontId="9" fillId="0" borderId="0" xfId="0" applyFont="1"/>
    <xf numFmtId="165" fontId="0" fillId="0" borderId="0" xfId="0" applyNumberFormat="1"/>
    <xf numFmtId="0" fontId="8" fillId="0" borderId="0" xfId="0" applyFont="1"/>
    <xf numFmtId="0" fontId="0" fillId="0" borderId="0" xfId="0" applyAlignment="1">
      <alignment wrapText="1"/>
    </xf>
    <xf numFmtId="165" fontId="0" fillId="0" borderId="1" xfId="0" applyNumberFormat="1" applyBorder="1"/>
    <xf numFmtId="0" fontId="8" fillId="5" borderId="1" xfId="0" applyFont="1" applyFill="1" applyBorder="1"/>
    <xf numFmtId="165" fontId="0" fillId="5" borderId="1" xfId="0" applyNumberFormat="1" applyFill="1" applyBorder="1"/>
    <xf numFmtId="0" fontId="0" fillId="5" borderId="1" xfId="0" applyFill="1" applyBorder="1"/>
    <xf numFmtId="164" fontId="0" fillId="5" borderId="1" xfId="0" applyNumberFormat="1" applyFill="1" applyBorder="1"/>
    <xf numFmtId="166" fontId="0" fillId="5" borderId="1" xfId="0" applyNumberFormat="1" applyFill="1" applyBorder="1"/>
    <xf numFmtId="0" fontId="0" fillId="5" borderId="1" xfId="0" applyFill="1" applyBorder="1" applyAlignment="1">
      <alignment wrapText="1"/>
    </xf>
    <xf numFmtId="0" fontId="7" fillId="4" borderId="0" xfId="0" applyFont="1" applyFill="1"/>
    <xf numFmtId="0" fontId="7" fillId="4" borderId="0" xfId="0" applyFont="1" applyFill="1" applyAlignment="1">
      <alignment horizontal="center" wrapText="1"/>
    </xf>
    <xf numFmtId="1" fontId="6" fillId="3" borderId="1" xfId="0" applyNumberFormat="1" applyFont="1" applyFill="1" applyBorder="1"/>
    <xf numFmtId="166" fontId="0" fillId="0" borderId="1" xfId="0" applyNumberFormat="1" applyBorder="1"/>
    <xf numFmtId="165" fontId="8" fillId="5" borderId="1" xfId="0" applyNumberFormat="1" applyFont="1" applyFill="1" applyBorder="1"/>
    <xf numFmtId="9" fontId="0" fillId="0" borderId="1" xfId="0" applyNumberFormat="1" applyBorder="1"/>
    <xf numFmtId="164" fontId="0" fillId="0" borderId="1" xfId="0" applyNumberFormat="1" applyBorder="1"/>
    <xf numFmtId="167" fontId="0" fillId="0" borderId="1" xfId="0" applyNumberFormat="1" applyBorder="1"/>
    <xf numFmtId="0" fontId="10" fillId="5" borderId="1" xfId="0" applyFont="1" applyFill="1" applyBorder="1"/>
    <xf numFmtId="165" fontId="10" fillId="5" borderId="1" xfId="0" applyNumberFormat="1" applyFont="1" applyFill="1" applyBorder="1"/>
    <xf numFmtId="164" fontId="10" fillId="5" borderId="1" xfId="0" applyNumberFormat="1" applyFont="1" applyFill="1" applyBorder="1"/>
    <xf numFmtId="166" fontId="10" fillId="5" borderId="1" xfId="0" applyNumberFormat="1" applyFont="1" applyFill="1" applyBorder="1"/>
    <xf numFmtId="165" fontId="11" fillId="5" borderId="1" xfId="0" applyNumberFormat="1" applyFont="1" applyFill="1"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8"/>
  <sheetViews>
    <sheetView showGridLines="0" topLeftCell="A22" zoomScaleNormal="100" workbookViewId="0">
      <selection activeCell="E20" sqref="E20"/>
    </sheetView>
  </sheetViews>
  <sheetFormatPr defaultColWidth="8.7109375" defaultRowHeight="15" x14ac:dyDescent="0.25"/>
  <cols>
    <col min="1" max="1" width="110" customWidth="1"/>
  </cols>
  <sheetData>
    <row r="1" spans="1:1" ht="18" x14ac:dyDescent="0.25">
      <c r="A1" s="1" t="s">
        <v>0</v>
      </c>
    </row>
    <row r="3" spans="1:1" ht="6" customHeight="1" x14ac:dyDescent="0.25">
      <c r="A3" s="2"/>
    </row>
    <row r="4" spans="1:1" ht="15.75" x14ac:dyDescent="0.25">
      <c r="A4" s="3" t="s">
        <v>1</v>
      </c>
    </row>
    <row r="5" spans="1:1" ht="27.75" customHeight="1" x14ac:dyDescent="0.25">
      <c r="A5" s="2" t="s">
        <v>2</v>
      </c>
    </row>
    <row r="6" spans="1:1" ht="27.75" customHeight="1" x14ac:dyDescent="0.25">
      <c r="A6" s="2" t="s">
        <v>3</v>
      </c>
    </row>
    <row r="7" spans="1:1" ht="27.75" customHeight="1" x14ac:dyDescent="0.25">
      <c r="A7" s="2" t="s">
        <v>4</v>
      </c>
    </row>
    <row r="8" spans="1:1" ht="27.75" customHeight="1" x14ac:dyDescent="0.25">
      <c r="A8" s="2" t="s">
        <v>5</v>
      </c>
    </row>
    <row r="9" spans="1:1" ht="6" customHeight="1" x14ac:dyDescent="0.25">
      <c r="A9" s="2"/>
    </row>
    <row r="10" spans="1:1" ht="15.75" x14ac:dyDescent="0.25">
      <c r="A10" s="3" t="s">
        <v>6</v>
      </c>
    </row>
    <row r="11" spans="1:1" ht="27.75" customHeight="1" x14ac:dyDescent="0.25">
      <c r="A11" s="2" t="s">
        <v>7</v>
      </c>
    </row>
    <row r="12" spans="1:1" ht="6" customHeight="1" x14ac:dyDescent="0.25">
      <c r="A12" s="2"/>
    </row>
    <row r="13" spans="1:1" ht="15.75" x14ac:dyDescent="0.25">
      <c r="A13" s="3" t="s">
        <v>8</v>
      </c>
    </row>
    <row r="14" spans="1:1" ht="27.75" customHeight="1" x14ac:dyDescent="0.25">
      <c r="A14" s="2" t="s">
        <v>9</v>
      </c>
    </row>
    <row r="15" spans="1:1" ht="27.75" customHeight="1" x14ac:dyDescent="0.25">
      <c r="A15" s="2" t="s">
        <v>10</v>
      </c>
    </row>
    <row r="16" spans="1:1" ht="27.75" customHeight="1" x14ac:dyDescent="0.25">
      <c r="A16" s="2" t="s">
        <v>11</v>
      </c>
    </row>
    <row r="17" spans="1:1" ht="27.75" customHeight="1" x14ac:dyDescent="0.25">
      <c r="A17" s="2" t="s">
        <v>12</v>
      </c>
    </row>
    <row r="18" spans="1:1" ht="6" customHeight="1" x14ac:dyDescent="0.25">
      <c r="A18" s="2"/>
    </row>
    <row r="19" spans="1:1" ht="15.75" x14ac:dyDescent="0.25">
      <c r="A19" s="3" t="s">
        <v>13</v>
      </c>
    </row>
    <row r="20" spans="1:1" ht="27.75" customHeight="1" x14ac:dyDescent="0.25">
      <c r="A20" s="2" t="s">
        <v>14</v>
      </c>
    </row>
    <row r="21" spans="1:1" ht="6" customHeight="1" x14ac:dyDescent="0.25">
      <c r="A21" s="2"/>
    </row>
    <row r="22" spans="1:1" ht="15.75" x14ac:dyDescent="0.25">
      <c r="A22" s="3" t="s">
        <v>15</v>
      </c>
    </row>
    <row r="23" spans="1:1" ht="27.75" customHeight="1" x14ac:dyDescent="0.25">
      <c r="A23" s="2" t="s">
        <v>16</v>
      </c>
    </row>
    <row r="24" spans="1:1" ht="27.75" customHeight="1" x14ac:dyDescent="0.25">
      <c r="A24" s="2" t="s">
        <v>17</v>
      </c>
    </row>
    <row r="25" spans="1:1" ht="27.75" customHeight="1" x14ac:dyDescent="0.25">
      <c r="A25" s="2" t="s">
        <v>18</v>
      </c>
    </row>
    <row r="26" spans="1:1" ht="6" customHeight="1" x14ac:dyDescent="0.25">
      <c r="A26" s="2"/>
    </row>
    <row r="27" spans="1:1" ht="15.75" x14ac:dyDescent="0.25">
      <c r="A27" s="3" t="s">
        <v>19</v>
      </c>
    </row>
    <row r="28" spans="1:1" ht="27.75" customHeight="1" x14ac:dyDescent="0.25">
      <c r="A28" s="2" t="s">
        <v>20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66"/>
  <sheetViews>
    <sheetView showGridLines="0" zoomScaleNormal="100" workbookViewId="0">
      <pane ySplit="3" topLeftCell="A4" activePane="bottomLeft" state="frozen"/>
      <selection pane="bottomLeft" activeCell="B59" sqref="B59"/>
    </sheetView>
  </sheetViews>
  <sheetFormatPr defaultColWidth="8.7109375" defaultRowHeight="15" x14ac:dyDescent="0.25"/>
  <cols>
    <col min="1" max="1" width="40" customWidth="1"/>
    <col min="2" max="2" width="14" customWidth="1"/>
    <col min="3" max="3" width="40" customWidth="1"/>
    <col min="4" max="4" width="14" customWidth="1"/>
  </cols>
  <sheetData>
    <row r="1" spans="1:6" ht="18" x14ac:dyDescent="0.25">
      <c r="A1" s="1" t="s">
        <v>183</v>
      </c>
    </row>
    <row r="2" spans="1:6" x14ac:dyDescent="0.25">
      <c r="A2" s="4"/>
    </row>
    <row r="4" spans="1:6" ht="15.75" x14ac:dyDescent="0.25">
      <c r="A4" s="5" t="s">
        <v>21</v>
      </c>
      <c r="B4" s="6"/>
      <c r="C4" s="6"/>
      <c r="D4" s="6"/>
      <c r="E4" s="6"/>
      <c r="F4" s="6"/>
    </row>
    <row r="5" spans="1:6" x14ac:dyDescent="0.25">
      <c r="A5" s="7" t="s">
        <v>22</v>
      </c>
      <c r="B5" s="8">
        <v>85</v>
      </c>
    </row>
    <row r="6" spans="1:6" x14ac:dyDescent="0.25">
      <c r="A6" s="7" t="s">
        <v>23</v>
      </c>
      <c r="B6" s="8">
        <v>120</v>
      </c>
    </row>
    <row r="7" spans="1:6" x14ac:dyDescent="0.25">
      <c r="A7" s="7" t="s">
        <v>24</v>
      </c>
      <c r="B7" s="8">
        <v>65</v>
      </c>
    </row>
    <row r="8" spans="1:6" x14ac:dyDescent="0.25">
      <c r="A8" s="7" t="s">
        <v>25</v>
      </c>
      <c r="B8" s="8">
        <v>12</v>
      </c>
    </row>
    <row r="9" spans="1:6" x14ac:dyDescent="0.25">
      <c r="A9" s="7" t="s">
        <v>26</v>
      </c>
      <c r="B9" s="8">
        <v>18</v>
      </c>
    </row>
    <row r="10" spans="1:6" x14ac:dyDescent="0.25">
      <c r="A10" s="7" t="s">
        <v>27</v>
      </c>
      <c r="B10" s="8">
        <v>10</v>
      </c>
    </row>
    <row r="11" spans="1:6" x14ac:dyDescent="0.25">
      <c r="A11" s="7" t="s">
        <v>28</v>
      </c>
      <c r="B11" s="9">
        <v>0.22</v>
      </c>
    </row>
    <row r="12" spans="1:6" x14ac:dyDescent="0.25">
      <c r="A12" s="7" t="s">
        <v>29</v>
      </c>
      <c r="B12" s="9">
        <v>0.28000000000000003</v>
      </c>
    </row>
    <row r="13" spans="1:6" x14ac:dyDescent="0.25">
      <c r="A13" s="7" t="s">
        <v>30</v>
      </c>
      <c r="B13" s="9">
        <v>0.3</v>
      </c>
    </row>
    <row r="14" spans="1:6" x14ac:dyDescent="0.25">
      <c r="A14" s="7" t="s">
        <v>31</v>
      </c>
      <c r="B14" s="8">
        <v>2.1</v>
      </c>
    </row>
    <row r="15" spans="1:6" x14ac:dyDescent="0.25">
      <c r="A15" s="7" t="s">
        <v>32</v>
      </c>
      <c r="B15" s="8">
        <v>2.5</v>
      </c>
    </row>
    <row r="16" spans="1:6" x14ac:dyDescent="0.25">
      <c r="A16" s="7" t="s">
        <v>33</v>
      </c>
      <c r="B16" s="8">
        <v>2.7</v>
      </c>
    </row>
    <row r="18" spans="1:6" ht="15.75" x14ac:dyDescent="0.25">
      <c r="A18" s="5" t="s">
        <v>34</v>
      </c>
      <c r="B18" s="6"/>
      <c r="C18" s="6"/>
      <c r="D18" s="6"/>
      <c r="E18" s="6"/>
      <c r="F18" s="6"/>
    </row>
    <row r="19" spans="1:6" x14ac:dyDescent="0.25">
      <c r="A19" s="7" t="s">
        <v>35</v>
      </c>
      <c r="B19" s="8">
        <v>18</v>
      </c>
    </row>
    <row r="20" spans="1:6" x14ac:dyDescent="0.25">
      <c r="A20" s="7" t="s">
        <v>36</v>
      </c>
      <c r="B20" s="8">
        <v>12</v>
      </c>
    </row>
    <row r="21" spans="1:6" x14ac:dyDescent="0.25">
      <c r="A21" s="7" t="s">
        <v>37</v>
      </c>
      <c r="B21" s="8">
        <v>30</v>
      </c>
    </row>
    <row r="22" spans="1:6" x14ac:dyDescent="0.25">
      <c r="A22" s="7" t="s">
        <v>38</v>
      </c>
      <c r="B22" s="10">
        <v>9000</v>
      </c>
    </row>
    <row r="23" spans="1:6" x14ac:dyDescent="0.25">
      <c r="A23" s="7" t="s">
        <v>39</v>
      </c>
      <c r="B23" s="10">
        <v>4500</v>
      </c>
    </row>
    <row r="24" spans="1:6" x14ac:dyDescent="0.25">
      <c r="A24" s="7" t="s">
        <v>40</v>
      </c>
      <c r="B24" s="10">
        <v>3500</v>
      </c>
    </row>
    <row r="25" spans="1:6" x14ac:dyDescent="0.25">
      <c r="A25" s="7" t="s">
        <v>41</v>
      </c>
      <c r="B25" s="10">
        <v>13500</v>
      </c>
    </row>
    <row r="26" spans="1:6" x14ac:dyDescent="0.25">
      <c r="A26" s="7" t="s">
        <v>42</v>
      </c>
      <c r="B26" s="10">
        <v>6500</v>
      </c>
    </row>
    <row r="27" spans="1:6" x14ac:dyDescent="0.25">
      <c r="A27" s="7" t="s">
        <v>43</v>
      </c>
      <c r="B27" s="10">
        <v>5000</v>
      </c>
    </row>
    <row r="28" spans="1:6" x14ac:dyDescent="0.25">
      <c r="A28" s="7" t="s">
        <v>44</v>
      </c>
      <c r="B28" s="8">
        <v>16</v>
      </c>
    </row>
    <row r="29" spans="1:6" x14ac:dyDescent="0.25">
      <c r="A29" s="7" t="s">
        <v>45</v>
      </c>
      <c r="B29" s="8">
        <v>28</v>
      </c>
    </row>
    <row r="30" spans="1:6" x14ac:dyDescent="0.25">
      <c r="A30" s="7" t="s">
        <v>46</v>
      </c>
      <c r="B30" s="8">
        <v>10</v>
      </c>
    </row>
    <row r="32" spans="1:6" ht="15.75" x14ac:dyDescent="0.25">
      <c r="A32" s="5" t="s">
        <v>47</v>
      </c>
      <c r="B32" s="6"/>
      <c r="C32" s="6"/>
      <c r="D32" s="6"/>
      <c r="E32" s="6"/>
      <c r="F32" s="6"/>
    </row>
    <row r="33" spans="1:6" x14ac:dyDescent="0.25">
      <c r="A33" s="7" t="s">
        <v>48</v>
      </c>
      <c r="B33" s="11">
        <v>0.95</v>
      </c>
      <c r="C33" s="4"/>
    </row>
    <row r="34" spans="1:6" x14ac:dyDescent="0.25">
      <c r="A34" s="7" t="s">
        <v>49</v>
      </c>
      <c r="B34" s="11">
        <v>0.25</v>
      </c>
    </row>
    <row r="35" spans="1:6" x14ac:dyDescent="0.25">
      <c r="A35" s="7" t="s">
        <v>50</v>
      </c>
      <c r="B35" s="8">
        <v>8</v>
      </c>
    </row>
    <row r="37" spans="1:6" ht="15.75" x14ac:dyDescent="0.25">
      <c r="A37" s="5" t="s">
        <v>51</v>
      </c>
      <c r="B37" s="6"/>
      <c r="C37" s="6"/>
      <c r="D37" s="6"/>
      <c r="E37" s="6"/>
      <c r="F37" s="6"/>
    </row>
    <row r="38" spans="1:6" x14ac:dyDescent="0.25">
      <c r="A38" s="7" t="s">
        <v>52</v>
      </c>
      <c r="B38" s="8">
        <v>34</v>
      </c>
    </row>
    <row r="39" spans="1:6" x14ac:dyDescent="0.25">
      <c r="A39" s="7" t="s">
        <v>53</v>
      </c>
      <c r="B39" s="8">
        <v>44</v>
      </c>
    </row>
    <row r="40" spans="1:6" x14ac:dyDescent="0.25">
      <c r="A40" s="7" t="s">
        <v>54</v>
      </c>
      <c r="B40" s="10">
        <v>1500</v>
      </c>
    </row>
    <row r="41" spans="1:6" x14ac:dyDescent="0.25">
      <c r="A41" s="7" t="s">
        <v>55</v>
      </c>
      <c r="B41" s="8">
        <v>0</v>
      </c>
      <c r="C41" s="4"/>
    </row>
    <row r="42" spans="1:6" x14ac:dyDescent="0.25">
      <c r="A42" s="7" t="s">
        <v>56</v>
      </c>
      <c r="B42" s="8">
        <v>52</v>
      </c>
    </row>
    <row r="43" spans="1:6" x14ac:dyDescent="0.25">
      <c r="A43" s="7" t="s">
        <v>57</v>
      </c>
      <c r="B43" s="8">
        <v>10</v>
      </c>
    </row>
    <row r="44" spans="1:6" x14ac:dyDescent="0.25">
      <c r="A44" s="7" t="s">
        <v>58</v>
      </c>
      <c r="B44" s="10">
        <v>18000</v>
      </c>
    </row>
    <row r="45" spans="1:6" x14ac:dyDescent="0.25">
      <c r="A45" s="7" t="s">
        <v>59</v>
      </c>
      <c r="B45" s="8">
        <v>0</v>
      </c>
      <c r="C45" s="4"/>
    </row>
    <row r="46" spans="1:6" x14ac:dyDescent="0.25">
      <c r="A46" s="7" t="s">
        <v>60</v>
      </c>
      <c r="B46" s="8">
        <v>95</v>
      </c>
    </row>
    <row r="47" spans="1:6" x14ac:dyDescent="0.25">
      <c r="A47" s="7" t="s">
        <v>61</v>
      </c>
      <c r="B47" s="8">
        <v>20</v>
      </c>
    </row>
    <row r="48" spans="1:6" x14ac:dyDescent="0.25">
      <c r="A48" s="7" t="s">
        <v>62</v>
      </c>
      <c r="B48" s="10">
        <v>12000</v>
      </c>
    </row>
    <row r="49" spans="1:6" x14ac:dyDescent="0.25">
      <c r="A49" s="7" t="s">
        <v>63</v>
      </c>
      <c r="B49" s="8">
        <v>0</v>
      </c>
      <c r="C49" s="4"/>
    </row>
    <row r="51" spans="1:6" ht="15.75" x14ac:dyDescent="0.25">
      <c r="A51" s="5" t="s">
        <v>64</v>
      </c>
      <c r="B51" s="6"/>
      <c r="C51" s="6"/>
      <c r="D51" s="6"/>
      <c r="E51" s="6"/>
      <c r="F51" s="6"/>
    </row>
    <row r="52" spans="1:6" x14ac:dyDescent="0.25">
      <c r="A52" s="7" t="s">
        <v>65</v>
      </c>
      <c r="B52" s="10">
        <v>6000</v>
      </c>
    </row>
    <row r="53" spans="1:6" x14ac:dyDescent="0.25">
      <c r="A53" s="7" t="s">
        <v>66</v>
      </c>
      <c r="B53" s="10">
        <v>9500</v>
      </c>
    </row>
    <row r="54" spans="1:6" x14ac:dyDescent="0.25">
      <c r="A54" s="7" t="s">
        <v>67</v>
      </c>
      <c r="B54" s="10">
        <v>1200</v>
      </c>
    </row>
    <row r="55" spans="1:6" x14ac:dyDescent="0.25">
      <c r="A55" s="7" t="s">
        <v>68</v>
      </c>
      <c r="B55" s="11">
        <v>0.3</v>
      </c>
    </row>
    <row r="57" spans="1:6" ht="15.75" x14ac:dyDescent="0.25">
      <c r="A57" s="5" t="s">
        <v>69</v>
      </c>
      <c r="B57" s="6"/>
      <c r="C57" s="6"/>
      <c r="D57" s="6"/>
      <c r="E57" s="6"/>
      <c r="F57" s="6"/>
    </row>
    <row r="58" spans="1:6" x14ac:dyDescent="0.25">
      <c r="A58" s="7" t="s">
        <v>70</v>
      </c>
      <c r="B58" s="8">
        <v>0</v>
      </c>
      <c r="C58" s="4"/>
    </row>
    <row r="59" spans="1:6" x14ac:dyDescent="0.25">
      <c r="A59" s="7" t="s">
        <v>71</v>
      </c>
      <c r="B59" s="8">
        <v>2</v>
      </c>
    </row>
    <row r="60" spans="1:6" x14ac:dyDescent="0.25">
      <c r="A60" s="7" t="s">
        <v>72</v>
      </c>
      <c r="B60" s="11">
        <v>0.35</v>
      </c>
    </row>
    <row r="61" spans="1:6" x14ac:dyDescent="0.25">
      <c r="A61" s="7" t="s">
        <v>73</v>
      </c>
      <c r="B61" s="11">
        <v>0</v>
      </c>
      <c r="C61" s="4"/>
    </row>
    <row r="62" spans="1:6" x14ac:dyDescent="0.25">
      <c r="A62" s="7" t="s">
        <v>74</v>
      </c>
      <c r="B62" s="11">
        <v>0</v>
      </c>
    </row>
    <row r="63" spans="1:6" x14ac:dyDescent="0.25">
      <c r="A63" s="7" t="s">
        <v>75</v>
      </c>
      <c r="B63" s="11">
        <v>0</v>
      </c>
    </row>
    <row r="64" spans="1:6" x14ac:dyDescent="0.25">
      <c r="A64" s="7" t="s">
        <v>76</v>
      </c>
      <c r="B64" s="8">
        <v>0</v>
      </c>
      <c r="C64" s="4"/>
    </row>
    <row r="65" spans="1:2" x14ac:dyDescent="0.25">
      <c r="A65" s="7" t="s">
        <v>77</v>
      </c>
      <c r="B65" s="8">
        <v>0</v>
      </c>
    </row>
    <row r="66" spans="1:2" x14ac:dyDescent="0.25">
      <c r="A66" s="7" t="s">
        <v>78</v>
      </c>
      <c r="B66" s="8">
        <v>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77"/>
  <sheetViews>
    <sheetView showGridLines="0" tabSelected="1" topLeftCell="A24" zoomScaleNormal="100" workbookViewId="0">
      <selection activeCell="C71" sqref="C71"/>
    </sheetView>
  </sheetViews>
  <sheetFormatPr defaultColWidth="8.7109375" defaultRowHeight="15" x14ac:dyDescent="0.25"/>
  <cols>
    <col min="1" max="1" width="16" customWidth="1"/>
    <col min="2" max="4" width="13" customWidth="1"/>
    <col min="5" max="5" width="12" customWidth="1"/>
    <col min="6" max="6" width="14.5703125" bestFit="1" customWidth="1"/>
    <col min="7" max="7" width="13" customWidth="1"/>
    <col min="8" max="8" width="12.28515625" bestFit="1" customWidth="1"/>
    <col min="9" max="9" width="13" customWidth="1"/>
    <col min="10" max="10" width="12" customWidth="1"/>
  </cols>
  <sheetData>
    <row r="1" spans="1:10" ht="18" x14ac:dyDescent="0.25">
      <c r="A1" s="1" t="s">
        <v>79</v>
      </c>
    </row>
    <row r="2" spans="1:10" x14ac:dyDescent="0.25">
      <c r="A2" s="4"/>
    </row>
    <row r="4" spans="1:10" ht="15.75" x14ac:dyDescent="0.25">
      <c r="A4" s="5" t="s">
        <v>80</v>
      </c>
      <c r="B4" s="6"/>
      <c r="C4" s="6"/>
      <c r="D4" s="6"/>
      <c r="E4" s="6"/>
      <c r="F4" s="6"/>
      <c r="G4" s="6"/>
      <c r="H4" s="6"/>
      <c r="I4" s="6"/>
      <c r="J4" s="6"/>
    </row>
    <row r="5" spans="1:10" ht="27.75" customHeight="1" x14ac:dyDescent="0.25">
      <c r="A5" s="12" t="s">
        <v>81</v>
      </c>
      <c r="B5" s="12" t="s">
        <v>82</v>
      </c>
      <c r="C5" s="12" t="s">
        <v>83</v>
      </c>
      <c r="D5" s="12" t="s">
        <v>84</v>
      </c>
      <c r="E5" s="12" t="s">
        <v>85</v>
      </c>
      <c r="F5" s="12" t="s">
        <v>86</v>
      </c>
      <c r="G5" s="12" t="s">
        <v>87</v>
      </c>
      <c r="H5" s="12" t="s">
        <v>88</v>
      </c>
      <c r="I5" s="12" t="s">
        <v>89</v>
      </c>
      <c r="J5" s="12" t="s">
        <v>90</v>
      </c>
    </row>
    <row r="6" spans="1:10" x14ac:dyDescent="0.25">
      <c r="A6" s="13" t="s">
        <v>91</v>
      </c>
      <c r="B6" s="13">
        <f>Arr_M*IF(IncidentOn=1,IF(IncidentShiftNum=1,1+IncidentSeverity,1),1)</f>
        <v>85</v>
      </c>
      <c r="C6" s="13">
        <f>B6</f>
        <v>85</v>
      </c>
      <c r="D6" s="13">
        <f>ROUNDUP(ServiceTarget*C6/Cap_Nurse,0)</f>
        <v>7</v>
      </c>
      <c r="E6" s="13">
        <f>ROUNDUP(D6/(1+OTCapPct),0)</f>
        <v>6</v>
      </c>
      <c r="F6" s="13">
        <f>MIN(MAX($I$9-(F7),0),(D6-E6))</f>
        <v>0</v>
      </c>
      <c r="G6" s="13">
        <f>IF($G$10&gt;0,ROUND(E6*G9/E9,0),D6-F6)</f>
        <v>7</v>
      </c>
      <c r="H6" s="13">
        <f>IF($G$10&gt;0,ROUND(OTCapPct*G6,0),F6)</f>
        <v>0</v>
      </c>
      <c r="I6" s="13">
        <f>MAX(0,D6-G6-H6)</f>
        <v>0</v>
      </c>
      <c r="J6" s="13">
        <f>I6*Cap_Nurse</f>
        <v>0</v>
      </c>
    </row>
    <row r="7" spans="1:10" x14ac:dyDescent="0.25">
      <c r="A7" s="13" t="s">
        <v>92</v>
      </c>
      <c r="B7" s="13">
        <f>Arr_E*IF(IncidentOn=1,IF(IncidentShiftNum=2,1+IncidentSeverity,1),1)</f>
        <v>120</v>
      </c>
      <c r="C7" s="13">
        <f>B7</f>
        <v>120</v>
      </c>
      <c r="D7" s="13">
        <f>ROUNDUP(ServiceTarget*C7/Cap_Nurse,0)</f>
        <v>10</v>
      </c>
      <c r="E7" s="13">
        <f>ROUNDUP(D7/(1+OTCapPct),0)</f>
        <v>8</v>
      </c>
      <c r="F7" s="13">
        <f>MIN($I$9,(D7-E7))</f>
        <v>0</v>
      </c>
      <c r="G7" s="13">
        <f>IF($G$10&gt;0,ROUND(E7*G9/E9,0),D7-F7)</f>
        <v>10</v>
      </c>
      <c r="H7" s="13">
        <f>IF($G$10&gt;0,ROUND(OTCapPct*G7,0),F7)</f>
        <v>0</v>
      </c>
      <c r="I7" s="13">
        <f>MAX(0,D7-G7-H7)</f>
        <v>0</v>
      </c>
      <c r="J7" s="13">
        <f>I7*Cap_Nurse</f>
        <v>0</v>
      </c>
    </row>
    <row r="8" spans="1:10" x14ac:dyDescent="0.25">
      <c r="A8" s="13" t="s">
        <v>93</v>
      </c>
      <c r="B8" s="13">
        <f>Arr_N*IF(IncidentOn=1,IF(IncidentShiftNum=3,1+IncidentSeverity,1),1)</f>
        <v>65</v>
      </c>
      <c r="C8" s="13">
        <f>B8</f>
        <v>65</v>
      </c>
      <c r="D8" s="13">
        <f>ROUNDUP(ServiceTarget*C8/Cap_Nurse,0)</f>
        <v>6</v>
      </c>
      <c r="E8" s="13">
        <f>ROUNDUP(D8/(1+OTCapPct),0)</f>
        <v>5</v>
      </c>
      <c r="F8" s="13">
        <f>MIN(MAX($I$9-(F7+F6),0),(D8-E8))</f>
        <v>0</v>
      </c>
      <c r="G8" s="13">
        <f>IF($G$10&gt;0,ROUND(E8*G9/E9,0),D8-F8)</f>
        <v>6</v>
      </c>
      <c r="H8" s="13">
        <f>IF($G$10&gt;0,ROUND(OTCapPct*G8,0),F8)</f>
        <v>0</v>
      </c>
      <c r="I8" s="13">
        <f>MAX(0,D8-G8-H8)</f>
        <v>0</v>
      </c>
      <c r="J8" s="13">
        <f>I8*Cap_Nurse</f>
        <v>0</v>
      </c>
    </row>
    <row r="9" spans="1:10" x14ac:dyDescent="0.25">
      <c r="A9" s="14" t="s">
        <v>94</v>
      </c>
      <c r="B9" s="14"/>
      <c r="C9" s="14"/>
      <c r="D9" s="14">
        <f>SUM(D6:D8)</f>
        <v>23</v>
      </c>
      <c r="E9" s="14">
        <f>SUM(E6:E8)</f>
        <v>19</v>
      </c>
      <c r="F9" s="14" t="s">
        <v>95</v>
      </c>
      <c r="G9" s="14">
        <f>Avail_Nurse*(1-NurseAbsence)*IF(NurseUnavail=1,0,1)</f>
        <v>28</v>
      </c>
      <c r="H9" s="14" t="s">
        <v>96</v>
      </c>
      <c r="I9" s="14">
        <f>MAX(0,D9-G9)</f>
        <v>0</v>
      </c>
      <c r="J9" s="14"/>
    </row>
    <row r="10" spans="1:10" x14ac:dyDescent="0.25">
      <c r="A10" s="14"/>
      <c r="B10" s="14"/>
      <c r="C10" s="14"/>
      <c r="D10" s="14"/>
      <c r="E10" s="14"/>
      <c r="F10" s="14" t="s">
        <v>97</v>
      </c>
      <c r="G10" s="14">
        <f>MAX(0,E9-G9)</f>
        <v>0</v>
      </c>
      <c r="H10" s="14"/>
      <c r="I10" s="14"/>
      <c r="J10" s="14"/>
    </row>
    <row r="11" spans="1:10" x14ac:dyDescent="0.25">
      <c r="A11" s="15" t="s">
        <v>98</v>
      </c>
      <c r="B11" s="16">
        <f>SUM(G6:G8)*RegCost_Nurse+SUM(H6:H8)*OTCost_Nurse</f>
        <v>103500</v>
      </c>
    </row>
    <row r="13" spans="1:10" ht="15.75" x14ac:dyDescent="0.25">
      <c r="A13" s="5" t="s">
        <v>99</v>
      </c>
      <c r="B13" s="6"/>
      <c r="C13" s="6"/>
      <c r="D13" s="6"/>
      <c r="E13" s="6"/>
      <c r="F13" s="6"/>
      <c r="G13" s="6"/>
      <c r="H13" s="6"/>
      <c r="I13" s="6"/>
      <c r="J13" s="6"/>
    </row>
    <row r="14" spans="1:10" ht="27.75" customHeight="1" x14ac:dyDescent="0.25">
      <c r="A14" s="12" t="s">
        <v>81</v>
      </c>
      <c r="B14" s="12" t="s">
        <v>82</v>
      </c>
      <c r="C14" s="12" t="s">
        <v>83</v>
      </c>
      <c r="D14" s="12" t="s">
        <v>84</v>
      </c>
      <c r="E14" s="12" t="s">
        <v>85</v>
      </c>
      <c r="F14" s="12" t="s">
        <v>86</v>
      </c>
      <c r="G14" s="12" t="s">
        <v>87</v>
      </c>
      <c r="H14" s="12" t="s">
        <v>88</v>
      </c>
      <c r="I14" s="12" t="s">
        <v>89</v>
      </c>
      <c r="J14" s="12" t="s">
        <v>90</v>
      </c>
    </row>
    <row r="15" spans="1:10" x14ac:dyDescent="0.25">
      <c r="A15" s="13" t="s">
        <v>91</v>
      </c>
      <c r="B15" s="13">
        <f>Arr_M*IF(IncidentOn=1,IF(IncidentShiftNum=1,1+IncidentSeverity,1),1)</f>
        <v>85</v>
      </c>
      <c r="C15" s="13">
        <f>B15</f>
        <v>85</v>
      </c>
      <c r="D15" s="13">
        <f>MAX(ROUNDUP(ServiceTarget*C15/Cap_Tech,0),2)</f>
        <v>3</v>
      </c>
      <c r="E15" s="13">
        <f>ROUNDUP(D15/(1+OTCapPct),0)</f>
        <v>3</v>
      </c>
      <c r="F15" s="13">
        <f>MIN(MAX($I$18-(F16),0),(D15-E15))</f>
        <v>0</v>
      </c>
      <c r="G15" s="13">
        <f>IF($G$19&gt;0,ROUND(E15*G18/E18,0),D15-F15)</f>
        <v>3</v>
      </c>
      <c r="H15" s="13">
        <f>IF($G$19&gt;0,ROUND(OTCapPct*G15,0),F15)</f>
        <v>0</v>
      </c>
      <c r="I15" s="13">
        <f>MAX(0,D15-G15-H15)</f>
        <v>0</v>
      </c>
      <c r="J15" s="13">
        <f>I15*Cap_Tech</f>
        <v>0</v>
      </c>
    </row>
    <row r="16" spans="1:10" x14ac:dyDescent="0.25">
      <c r="A16" s="13" t="s">
        <v>92</v>
      </c>
      <c r="B16" s="13">
        <f>Arr_E*IF(IncidentOn=1,IF(IncidentShiftNum=2,1+IncidentSeverity,1),1)</f>
        <v>120</v>
      </c>
      <c r="C16" s="13">
        <f>B16</f>
        <v>120</v>
      </c>
      <c r="D16" s="13">
        <f>MAX(ROUNDUP(ServiceTarget*C16/Cap_Tech,0),2)</f>
        <v>4</v>
      </c>
      <c r="E16" s="13">
        <f>ROUNDUP(D16/(1+OTCapPct),0)</f>
        <v>4</v>
      </c>
      <c r="F16" s="13">
        <f>MIN($I$18,(D16-E16))</f>
        <v>0</v>
      </c>
      <c r="G16" s="13">
        <f>IF($G$19&gt;0,ROUND(E16*G18/E18,0),D16-F16)</f>
        <v>4</v>
      </c>
      <c r="H16" s="13">
        <f>IF($G$19&gt;0,ROUND(OTCapPct*G16,0),F16)</f>
        <v>0</v>
      </c>
      <c r="I16" s="13">
        <f>MAX(0,D16-G16-H16)</f>
        <v>0</v>
      </c>
      <c r="J16" s="13">
        <f>I16*Cap_Tech</f>
        <v>0</v>
      </c>
    </row>
    <row r="17" spans="1:10" x14ac:dyDescent="0.25">
      <c r="A17" s="13" t="s">
        <v>93</v>
      </c>
      <c r="B17" s="13">
        <f>Arr_N*IF(IncidentOn=1,IF(IncidentShiftNum=3,1+IncidentSeverity,1),1)</f>
        <v>65</v>
      </c>
      <c r="C17" s="13">
        <f>B17</f>
        <v>65</v>
      </c>
      <c r="D17" s="13">
        <f>MAX(ROUNDUP(ServiceTarget*C17/Cap_Tech,0),2)</f>
        <v>3</v>
      </c>
      <c r="E17" s="13">
        <f>ROUNDUP(D17/(1+OTCapPct),0)</f>
        <v>3</v>
      </c>
      <c r="F17" s="13">
        <f>MIN(MAX($I$18-(F16+F15),0),(D17-E17))</f>
        <v>0</v>
      </c>
      <c r="G17" s="13">
        <f>IF($G$19&gt;0,ROUND(E17*G18/E18,0),D17-F17)</f>
        <v>3</v>
      </c>
      <c r="H17" s="13">
        <f>IF($G$19&gt;0,ROUND(OTCapPct*G17,0),F17)</f>
        <v>0</v>
      </c>
      <c r="I17" s="13">
        <f>MAX(0,D17-G17-H17)</f>
        <v>0</v>
      </c>
      <c r="J17" s="13">
        <f>I17*Cap_Tech</f>
        <v>0</v>
      </c>
    </row>
    <row r="18" spans="1:10" x14ac:dyDescent="0.25">
      <c r="A18" s="14" t="s">
        <v>94</v>
      </c>
      <c r="B18" s="14"/>
      <c r="C18" s="14"/>
      <c r="D18" s="14">
        <f>SUM(D15:D17)</f>
        <v>10</v>
      </c>
      <c r="E18" s="14">
        <f>SUM(E15:E17)</f>
        <v>10</v>
      </c>
      <c r="F18" s="14" t="s">
        <v>95</v>
      </c>
      <c r="G18" s="14">
        <f>Avail_Tech*(1-TechAbsence)*IF(TechUnavail=1,0,1)</f>
        <v>10</v>
      </c>
      <c r="H18" s="14" t="s">
        <v>96</v>
      </c>
      <c r="I18" s="14">
        <f>MAX(0,D18-G18)</f>
        <v>0</v>
      </c>
      <c r="J18" s="14"/>
    </row>
    <row r="19" spans="1:10" x14ac:dyDescent="0.25">
      <c r="A19" s="14"/>
      <c r="B19" s="14"/>
      <c r="C19" s="14"/>
      <c r="D19" s="14"/>
      <c r="E19" s="14"/>
      <c r="F19" s="14" t="s">
        <v>97</v>
      </c>
      <c r="G19" s="14">
        <f>MAX(0,E18-G18)</f>
        <v>0</v>
      </c>
      <c r="H19" s="14"/>
      <c r="I19" s="14"/>
      <c r="J19" s="14"/>
    </row>
    <row r="20" spans="1:10" x14ac:dyDescent="0.25">
      <c r="A20" s="15" t="s">
        <v>98</v>
      </c>
      <c r="B20" s="16">
        <f>SUM(G15:G17)*RegCost_Tech+SUM(H15:H17)*OTCost_Tech</f>
        <v>35000</v>
      </c>
    </row>
    <row r="22" spans="1:10" ht="15.75" x14ac:dyDescent="0.25">
      <c r="A22" s="5" t="s">
        <v>100</v>
      </c>
      <c r="B22" s="6"/>
      <c r="C22" s="6"/>
      <c r="D22" s="6"/>
      <c r="E22" s="6"/>
      <c r="F22" s="6"/>
      <c r="G22" s="6"/>
      <c r="H22" s="6"/>
      <c r="I22" s="6"/>
      <c r="J22" s="6"/>
    </row>
    <row r="23" spans="1:10" ht="27.75" customHeight="1" x14ac:dyDescent="0.25">
      <c r="A23" s="12" t="s">
        <v>81</v>
      </c>
      <c r="B23" s="12" t="s">
        <v>82</v>
      </c>
      <c r="C23" s="12" t="s">
        <v>83</v>
      </c>
      <c r="D23" s="12" t="s">
        <v>84</v>
      </c>
      <c r="E23" s="12" t="s">
        <v>85</v>
      </c>
      <c r="F23" s="12" t="s">
        <v>86</v>
      </c>
      <c r="G23" s="12" t="s">
        <v>87</v>
      </c>
      <c r="H23" s="12" t="s">
        <v>88</v>
      </c>
      <c r="I23" s="12" t="s">
        <v>89</v>
      </c>
      <c r="J23" s="12" t="s">
        <v>90</v>
      </c>
    </row>
    <row r="24" spans="1:10" x14ac:dyDescent="0.25">
      <c r="A24" s="13" t="s">
        <v>91</v>
      </c>
      <c r="B24" s="13">
        <f>Arr_M*IF(IncidentOn=1,IF(IncidentShiftNum=1,1+IncidentSeverity,1),1)</f>
        <v>85</v>
      </c>
      <c r="C24" s="13">
        <f>B24*(1+0.5*Acuity_M)</f>
        <v>94.350000000000009</v>
      </c>
      <c r="D24" s="13">
        <f>MAX(ROUNDUP(ServiceTarget*C24/Cap_Doc,0),ROUNDUP(0.5*(G6+H6),0))</f>
        <v>5</v>
      </c>
      <c r="E24" s="13">
        <f>ROUNDUP(D24/(1+OTCapPct),0)</f>
        <v>4</v>
      </c>
      <c r="F24" s="13">
        <f>MIN(MAX($I$27-(F25),0),(D24-E24))</f>
        <v>0</v>
      </c>
      <c r="G24" s="13">
        <f>IF($G$28&gt;0,ROUND(E24*G27/E27,0),D24-F24)</f>
        <v>5</v>
      </c>
      <c r="H24" s="13">
        <f>IF($G$28&gt;0,ROUND(OTCapPct*G24,0),F24)</f>
        <v>0</v>
      </c>
      <c r="I24" s="13">
        <f>MAX(0,D24-G24-H24)</f>
        <v>0</v>
      </c>
      <c r="J24" s="13">
        <f>I24*Cap_Doc</f>
        <v>0</v>
      </c>
    </row>
    <row r="25" spans="1:10" x14ac:dyDescent="0.25">
      <c r="A25" s="13" t="s">
        <v>92</v>
      </c>
      <c r="B25" s="13">
        <f>Arr_E*IF(IncidentOn=1,IF(IncidentShiftNum=2,1+IncidentSeverity,1),1)</f>
        <v>120</v>
      </c>
      <c r="C25" s="13">
        <f>B25*(1+0.5*Acuity_E)</f>
        <v>136.80000000000001</v>
      </c>
      <c r="D25" s="13">
        <f>MAX(ROUNDUP(ServiceTarget*C25/Cap_Doc,0),ROUNDUP(0.5*(G7+H7),0))</f>
        <v>8</v>
      </c>
      <c r="E25" s="13">
        <f>ROUNDUP(D25/(1+OTCapPct),0)</f>
        <v>7</v>
      </c>
      <c r="F25" s="13">
        <f>MIN($I$27,(D25-E25))</f>
        <v>1</v>
      </c>
      <c r="G25" s="13">
        <f>IF($G$28&gt;0,ROUND(E25*G27/E27,0),D25-F25)</f>
        <v>7</v>
      </c>
      <c r="H25" s="13">
        <f>IF($G$28&gt;0,ROUND(OTCapPct*G25,0),F25)</f>
        <v>1</v>
      </c>
      <c r="I25" s="13">
        <f>MAX(0,D25-G25-H25)</f>
        <v>0</v>
      </c>
      <c r="J25" s="13">
        <f>I25*Cap_Doc</f>
        <v>0</v>
      </c>
    </row>
    <row r="26" spans="1:10" x14ac:dyDescent="0.25">
      <c r="A26" s="13" t="s">
        <v>93</v>
      </c>
      <c r="B26" s="13">
        <f>Arr_N*IF(IncidentOn=1,IF(IncidentShiftNum=3,1+IncidentSeverity,1),1)</f>
        <v>65</v>
      </c>
      <c r="C26" s="13">
        <f>B26*(1+0.5*Acuity_N)</f>
        <v>74.75</v>
      </c>
      <c r="D26" s="13">
        <f>MAX(ROUNDUP(ServiceTarget*C26/Cap_Doc,0),MAX(ROUNDUP(0.5*(G8+H8),0),4))</f>
        <v>4</v>
      </c>
      <c r="E26" s="13">
        <f>ROUNDUP(D26/(1+OTCapPct),0)</f>
        <v>4</v>
      </c>
      <c r="F26" s="13">
        <f>MIN(MAX($I$27-(F25+F24),0),(D26-E26))</f>
        <v>0</v>
      </c>
      <c r="G26" s="13">
        <f>IF($G$28&gt;0,ROUND(E26*G27/E27,0),D26-F26)</f>
        <v>4</v>
      </c>
      <c r="H26" s="13">
        <f>IF($G$28&gt;0,ROUND(OTCapPct*G26,0),F26)</f>
        <v>0</v>
      </c>
      <c r="I26" s="13">
        <f>MAX(0,D26-G26-H26)</f>
        <v>0</v>
      </c>
      <c r="J26" s="13">
        <f>I26*Cap_Doc</f>
        <v>0</v>
      </c>
    </row>
    <row r="27" spans="1:10" x14ac:dyDescent="0.25">
      <c r="A27" s="14" t="s">
        <v>94</v>
      </c>
      <c r="B27" s="14"/>
      <c r="C27" s="14"/>
      <c r="D27" s="14">
        <f>SUM(D24:D26)</f>
        <v>17</v>
      </c>
      <c r="E27" s="14">
        <f>SUM(E24:E26)</f>
        <v>15</v>
      </c>
      <c r="F27" s="14" t="s">
        <v>95</v>
      </c>
      <c r="G27" s="14">
        <f>Avail_Doc*(1-DocAbsence)*IF(DocUnavail=1,0,1)</f>
        <v>16</v>
      </c>
      <c r="H27" s="14" t="s">
        <v>96</v>
      </c>
      <c r="I27" s="14">
        <f>MAX(0,D27-G27)</f>
        <v>1</v>
      </c>
      <c r="J27" s="14"/>
    </row>
    <row r="28" spans="1:10" x14ac:dyDescent="0.25">
      <c r="A28" s="14"/>
      <c r="B28" s="14"/>
      <c r="C28" s="14"/>
      <c r="D28" s="14"/>
      <c r="E28" s="14"/>
      <c r="F28" s="14" t="s">
        <v>97</v>
      </c>
      <c r="G28" s="14">
        <f>MAX(0,E27-G27)</f>
        <v>0</v>
      </c>
      <c r="H28" s="14"/>
      <c r="I28" s="14"/>
      <c r="J28" s="14"/>
    </row>
    <row r="29" spans="1:10" x14ac:dyDescent="0.25">
      <c r="A29" s="15" t="s">
        <v>98</v>
      </c>
      <c r="B29" s="16">
        <f>SUM(G24:G26)*RegCost_Doc+SUM(H24:H26)*OTCost_Doc</f>
        <v>157500</v>
      </c>
    </row>
    <row r="31" spans="1:10" ht="15.75" x14ac:dyDescent="0.25">
      <c r="A31" s="5" t="s">
        <v>101</v>
      </c>
      <c r="B31" s="6"/>
      <c r="C31" s="6"/>
      <c r="D31" s="6"/>
      <c r="E31" s="6"/>
      <c r="F31" s="6"/>
      <c r="G31" s="6"/>
      <c r="H31" s="6"/>
      <c r="I31" s="6"/>
      <c r="J31" s="6"/>
    </row>
    <row r="32" spans="1:10" ht="27.75" customHeight="1" x14ac:dyDescent="0.25">
      <c r="A32" s="12" t="s">
        <v>81</v>
      </c>
      <c r="B32" s="12" t="s">
        <v>82</v>
      </c>
      <c r="C32" s="12" t="s">
        <v>102</v>
      </c>
      <c r="D32" s="12" t="s">
        <v>103</v>
      </c>
      <c r="E32" s="12" t="s">
        <v>104</v>
      </c>
      <c r="F32" s="12" t="s">
        <v>105</v>
      </c>
      <c r="G32" s="12" t="s">
        <v>106</v>
      </c>
    </row>
    <row r="33" spans="1:10" x14ac:dyDescent="0.25">
      <c r="A33" s="13" t="s">
        <v>91</v>
      </c>
      <c r="B33" s="13">
        <f>Arr_M*IF(IncidentOn=1,IF(IncidentShiftNum=1,1+IncidentSeverity,1),1)</f>
        <v>85</v>
      </c>
      <c r="C33" s="13">
        <f>(BedsCurrent+BedsAdded)*ShiftHours/BedHr_M</f>
        <v>129.52380952380952</v>
      </c>
      <c r="D33" s="13">
        <f>(BedsCurrent+BedsAdded)*ShiftHours</f>
        <v>272</v>
      </c>
      <c r="E33" s="13">
        <f>ServiceTarget*B33*BedHr_M</f>
        <v>169.57500000000002</v>
      </c>
      <c r="F33" s="13">
        <f>MAX(0,E33-D33)</f>
        <v>0</v>
      </c>
      <c r="G33" s="13">
        <f>MAX(0,ServiceTarget*B33-C33)</f>
        <v>0</v>
      </c>
    </row>
    <row r="34" spans="1:10" x14ac:dyDescent="0.25">
      <c r="A34" s="13" t="s">
        <v>92</v>
      </c>
      <c r="B34" s="13">
        <f>Arr_E*IF(IncidentOn=1,IF(IncidentShiftNum=2,1+IncidentSeverity,1),1)</f>
        <v>120</v>
      </c>
      <c r="C34" s="13">
        <f>(BedsCurrent+BedsAdded)*ShiftHours/BedHr_E</f>
        <v>108.8</v>
      </c>
      <c r="D34" s="13">
        <f>(BedsCurrent+BedsAdded)*ShiftHours</f>
        <v>272</v>
      </c>
      <c r="E34" s="13">
        <f>ServiceTarget*B34*BedHr_E</f>
        <v>285</v>
      </c>
      <c r="F34" s="13">
        <f>MAX(0,E34-D34)</f>
        <v>13</v>
      </c>
      <c r="G34" s="13">
        <f>MAX(0,ServiceTarget*B34-C34)</f>
        <v>5.2000000000000028</v>
      </c>
    </row>
    <row r="35" spans="1:10" x14ac:dyDescent="0.25">
      <c r="A35" s="13" t="s">
        <v>93</v>
      </c>
      <c r="B35" s="13">
        <f>Arr_N*IF(IncidentOn=1,IF(IncidentShiftNum=3,1+IncidentSeverity,1),1)</f>
        <v>65</v>
      </c>
      <c r="C35" s="13">
        <f>(BedsCurrent+BedsAdded)*ShiftHours/BedHr_N</f>
        <v>100.74074074074073</v>
      </c>
      <c r="D35" s="13">
        <f>(BedsCurrent+BedsAdded)*ShiftHours</f>
        <v>272</v>
      </c>
      <c r="E35" s="13">
        <f>ServiceTarget*B35*BedHr_N</f>
        <v>166.72500000000002</v>
      </c>
      <c r="F35" s="13">
        <f>MAX(0,E35-D35)</f>
        <v>0</v>
      </c>
      <c r="G35" s="13">
        <f>MAX(0,ServiceTarget*B35-C35)</f>
        <v>0</v>
      </c>
    </row>
    <row r="36" spans="1:10" x14ac:dyDescent="0.25">
      <c r="A36" s="14" t="s">
        <v>107</v>
      </c>
      <c r="B36" s="14"/>
      <c r="C36" s="14"/>
      <c r="D36" s="14">
        <f>SUM(D33:D35)</f>
        <v>816</v>
      </c>
      <c r="E36" s="14">
        <f>SUM(E33:E35)</f>
        <v>621.30000000000007</v>
      </c>
      <c r="F36" s="14">
        <f>SUM(F33:F35)</f>
        <v>13</v>
      </c>
      <c r="G36" s="14">
        <f>SUM(G33:G35)</f>
        <v>5.2000000000000028</v>
      </c>
    </row>
    <row r="37" spans="1:10" x14ac:dyDescent="0.25">
      <c r="A37" s="15" t="s">
        <v>108</v>
      </c>
      <c r="B37" s="16">
        <f>BedsAdded*BedCostPerBed</f>
        <v>0</v>
      </c>
    </row>
    <row r="39" spans="1:10" ht="15.75" x14ac:dyDescent="0.25">
      <c r="A39" s="5" t="s">
        <v>109</v>
      </c>
      <c r="B39" s="6"/>
      <c r="C39" s="6"/>
      <c r="D39" s="6"/>
      <c r="E39" s="6"/>
      <c r="F39" s="6"/>
      <c r="G39" s="6"/>
      <c r="H39" s="6"/>
      <c r="I39" s="6"/>
      <c r="J39" s="6"/>
    </row>
    <row r="40" spans="1:10" ht="27.75" customHeight="1" x14ac:dyDescent="0.25">
      <c r="A40" s="12" t="s">
        <v>81</v>
      </c>
      <c r="B40" s="12" t="s">
        <v>82</v>
      </c>
      <c r="C40" s="12" t="s">
        <v>110</v>
      </c>
      <c r="D40" s="12" t="s">
        <v>111</v>
      </c>
      <c r="E40" s="12" t="s">
        <v>112</v>
      </c>
      <c r="F40" s="12" t="s">
        <v>113</v>
      </c>
      <c r="G40" s="12" t="s">
        <v>114</v>
      </c>
      <c r="H40" s="12" t="s">
        <v>115</v>
      </c>
    </row>
    <row r="41" spans="1:10" x14ac:dyDescent="0.25">
      <c r="A41" s="13" t="s">
        <v>91</v>
      </c>
      <c r="B41" s="13">
        <f>Arr_M*IF(IncidentOn=1,IF(IncidentShiftNum=1,1+IncidentSeverity,1),1)</f>
        <v>85</v>
      </c>
      <c r="C41" s="13">
        <f>ServiceTarget*B41*Acuity_M</f>
        <v>17.765000000000001</v>
      </c>
      <c r="D41" s="13">
        <f>ImgBase+ImgExpOn*ImgExpAdd</f>
        <v>52</v>
      </c>
      <c r="E41" s="13">
        <f>MAX(0,C41-D41)</f>
        <v>0</v>
      </c>
      <c r="F41" s="13">
        <f>ServiceTarget*B41</f>
        <v>80.75</v>
      </c>
      <c r="G41" s="13">
        <f>LabBase+LabExpOn*LabExpAdd</f>
        <v>95</v>
      </c>
      <c r="H41" s="13">
        <f>MAX(0,F41-G41)</f>
        <v>0</v>
      </c>
    </row>
    <row r="42" spans="1:10" x14ac:dyDescent="0.25">
      <c r="A42" s="13" t="s">
        <v>92</v>
      </c>
      <c r="B42" s="13">
        <f>Arr_E*IF(IncidentOn=1,IF(IncidentShiftNum=2,1+IncidentSeverity,1),1)</f>
        <v>120</v>
      </c>
      <c r="C42" s="13">
        <f>ServiceTarget*B42*Acuity_E</f>
        <v>31.92</v>
      </c>
      <c r="D42" s="13">
        <f>ImgBase+ImgExpOn*ImgExpAdd</f>
        <v>52</v>
      </c>
      <c r="E42" s="13">
        <f>MAX(0,C42-D42)</f>
        <v>0</v>
      </c>
      <c r="F42" s="13">
        <f>ServiceTarget*B42</f>
        <v>114</v>
      </c>
      <c r="G42" s="13">
        <f>LabBase+LabExpOn*LabExpAdd</f>
        <v>95</v>
      </c>
      <c r="H42" s="13">
        <f>MAX(0,F42-G42)</f>
        <v>19</v>
      </c>
    </row>
    <row r="43" spans="1:10" x14ac:dyDescent="0.25">
      <c r="A43" s="13" t="s">
        <v>93</v>
      </c>
      <c r="B43" s="13">
        <f>Arr_N*IF(IncidentOn=1,IF(IncidentShiftNum=3,1+IncidentSeverity,1),1)</f>
        <v>65</v>
      </c>
      <c r="C43" s="13">
        <f>ServiceTarget*B43*Acuity_N</f>
        <v>18.524999999999999</v>
      </c>
      <c r="D43" s="13">
        <f>ImgBase+ImgExpOn*ImgExpAdd</f>
        <v>52</v>
      </c>
      <c r="E43" s="13">
        <f>MAX(0,C43-D43)</f>
        <v>0</v>
      </c>
      <c r="F43" s="13">
        <f>ServiceTarget*B43</f>
        <v>61.75</v>
      </c>
      <c r="G43" s="13">
        <f>LabBase+LabExpOn*LabExpAdd</f>
        <v>95</v>
      </c>
      <c r="H43" s="13">
        <f>MAX(0,F43-G43)</f>
        <v>0</v>
      </c>
    </row>
    <row r="44" spans="1:10" x14ac:dyDescent="0.25">
      <c r="A44" s="14" t="s">
        <v>107</v>
      </c>
      <c r="B44" s="14"/>
      <c r="C44" s="14"/>
      <c r="D44" s="14"/>
      <c r="E44" s="14">
        <f>SUM(E41:E43)</f>
        <v>0</v>
      </c>
      <c r="F44" s="14"/>
      <c r="G44" s="14"/>
      <c r="H44" s="14">
        <f>SUM(H41:H43)</f>
        <v>19</v>
      </c>
    </row>
    <row r="45" spans="1:10" x14ac:dyDescent="0.25">
      <c r="A45" s="15" t="s">
        <v>116</v>
      </c>
      <c r="B45" s="16">
        <f>ImgExpOn*ImgExpCost+LabExpOn*LabExpCost</f>
        <v>0</v>
      </c>
    </row>
    <row r="47" spans="1:10" ht="15.75" x14ac:dyDescent="0.25">
      <c r="A47" s="5" t="s">
        <v>117</v>
      </c>
      <c r="B47" s="6"/>
      <c r="C47" s="6"/>
      <c r="D47" s="6"/>
      <c r="E47" s="6"/>
      <c r="F47" s="6"/>
      <c r="G47" s="6"/>
      <c r="H47" s="6"/>
      <c r="I47" s="6"/>
      <c r="J47" s="6"/>
    </row>
    <row r="48" spans="1:10" ht="27.75" customHeight="1" x14ac:dyDescent="0.25">
      <c r="A48" s="12" t="s">
        <v>81</v>
      </c>
      <c r="B48" s="12" t="s">
        <v>118</v>
      </c>
      <c r="C48" s="12" t="s">
        <v>119</v>
      </c>
      <c r="D48" s="12" t="s">
        <v>120</v>
      </c>
      <c r="E48" s="12" t="s">
        <v>121</v>
      </c>
      <c r="F48" s="12" t="s">
        <v>122</v>
      </c>
      <c r="G48" s="12" t="s">
        <v>123</v>
      </c>
      <c r="H48" s="12" t="s">
        <v>124</v>
      </c>
      <c r="I48" s="12" t="s">
        <v>125</v>
      </c>
      <c r="J48" s="12" t="s">
        <v>126</v>
      </c>
    </row>
    <row r="49" spans="1:10" x14ac:dyDescent="0.25">
      <c r="A49" s="13" t="s">
        <v>91</v>
      </c>
      <c r="B49" s="13">
        <f>Model!I24</f>
        <v>0</v>
      </c>
      <c r="C49" s="13">
        <f>Model!I6</f>
        <v>0</v>
      </c>
      <c r="D49" s="13">
        <f>Model!I15</f>
        <v>0</v>
      </c>
      <c r="E49" s="13">
        <f>Model!G33</f>
        <v>0</v>
      </c>
      <c r="F49" s="13">
        <f>Model!E41</f>
        <v>0</v>
      </c>
      <c r="G49" s="13">
        <f>Model!H41</f>
        <v>0</v>
      </c>
      <c r="H49" s="13">
        <f>MAX(B49:G49)</f>
        <v>0</v>
      </c>
      <c r="I49" s="13">
        <f>H49*DivertShare</f>
        <v>0</v>
      </c>
      <c r="J49" s="13">
        <f>H49-I49</f>
        <v>0</v>
      </c>
    </row>
    <row r="50" spans="1:10" x14ac:dyDescent="0.25">
      <c r="A50" s="13" t="s">
        <v>92</v>
      </c>
      <c r="B50" s="13">
        <f>Model!I25</f>
        <v>0</v>
      </c>
      <c r="C50" s="13">
        <f>Model!I7</f>
        <v>0</v>
      </c>
      <c r="D50" s="13">
        <f>Model!I16</f>
        <v>0</v>
      </c>
      <c r="E50" s="13">
        <f>Model!G34</f>
        <v>5.2000000000000028</v>
      </c>
      <c r="F50" s="13">
        <f>Model!E42</f>
        <v>0</v>
      </c>
      <c r="G50" s="13">
        <f>Model!H42</f>
        <v>19</v>
      </c>
      <c r="H50" s="13">
        <f>MAX(B50:G50)</f>
        <v>19</v>
      </c>
      <c r="I50" s="13">
        <f>H50*DivertShare</f>
        <v>5.7</v>
      </c>
      <c r="J50" s="13">
        <f>H50-I50</f>
        <v>13.3</v>
      </c>
    </row>
    <row r="51" spans="1:10" x14ac:dyDescent="0.25">
      <c r="A51" s="13" t="s">
        <v>93</v>
      </c>
      <c r="B51" s="13">
        <f>Model!I26</f>
        <v>0</v>
      </c>
      <c r="C51" s="13">
        <f>Model!I8</f>
        <v>0</v>
      </c>
      <c r="D51" s="13">
        <f>Model!I17</f>
        <v>0</v>
      </c>
      <c r="E51" s="13">
        <f>Model!G35</f>
        <v>0</v>
      </c>
      <c r="F51" s="13">
        <f>Model!E43</f>
        <v>0</v>
      </c>
      <c r="G51" s="13">
        <f>Model!H43</f>
        <v>0</v>
      </c>
      <c r="H51" s="13">
        <f>MAX(B51:G51)</f>
        <v>0</v>
      </c>
      <c r="I51" s="13">
        <f>H51*DivertShare</f>
        <v>0</v>
      </c>
      <c r="J51" s="13">
        <f>H51-I51</f>
        <v>0</v>
      </c>
    </row>
    <row r="52" spans="1:10" x14ac:dyDescent="0.25">
      <c r="A52" s="14" t="s">
        <v>127</v>
      </c>
      <c r="B52" s="14"/>
      <c r="C52" s="14"/>
      <c r="D52" s="14"/>
      <c r="E52" s="14"/>
      <c r="F52" s="14"/>
      <c r="G52" s="14"/>
      <c r="H52" s="14">
        <f>SUM(H49:H51)</f>
        <v>19</v>
      </c>
      <c r="I52" s="14">
        <f>SUM(I49:I51)</f>
        <v>5.7</v>
      </c>
      <c r="J52" s="14">
        <f>SUM(J49:J51)</f>
        <v>13.3</v>
      </c>
    </row>
    <row r="54" spans="1:10" x14ac:dyDescent="0.25">
      <c r="A54" s="17" t="s">
        <v>128</v>
      </c>
      <c r="B54" t="str">
        <f>INDEX(A49:A51,MATCH(MAX(H49:H51),H49:H51,0))</f>
        <v>Evening</v>
      </c>
    </row>
    <row r="55" spans="1:10" ht="30" x14ac:dyDescent="0.25">
      <c r="A55" s="17" t="s">
        <v>129</v>
      </c>
      <c r="B55" s="18" t="str">
        <f>INDEX($B$48:$G$48,1,MATCH(MAX(B56:G56),B56:G56,0))</f>
        <v>Lab
Shortfall</v>
      </c>
    </row>
    <row r="56" spans="1:10" x14ac:dyDescent="0.25">
      <c r="A56" s="4" t="s">
        <v>130</v>
      </c>
      <c r="B56" s="18">
        <f t="shared" ref="B56:G56" si="0">MAX(B49:B51)</f>
        <v>0</v>
      </c>
      <c r="C56" s="18">
        <f t="shared" si="0"/>
        <v>0</v>
      </c>
      <c r="D56" s="18">
        <f t="shared" si="0"/>
        <v>0</v>
      </c>
      <c r="E56" s="18">
        <f t="shared" si="0"/>
        <v>5.2000000000000028</v>
      </c>
      <c r="F56" s="18">
        <f t="shared" si="0"/>
        <v>0</v>
      </c>
      <c r="G56" s="18">
        <f t="shared" si="0"/>
        <v>19</v>
      </c>
    </row>
    <row r="58" spans="1:10" ht="15.75" x14ac:dyDescent="0.25">
      <c r="A58" s="5" t="s">
        <v>131</v>
      </c>
      <c r="B58" s="6"/>
      <c r="C58" s="6"/>
      <c r="D58" s="6"/>
    </row>
    <row r="59" spans="1:10" x14ac:dyDescent="0.25">
      <c r="A59" s="13" t="s">
        <v>132</v>
      </c>
      <c r="B59" s="19">
        <f>B29</f>
        <v>157500</v>
      </c>
    </row>
    <row r="60" spans="1:10" x14ac:dyDescent="0.25">
      <c r="A60" s="13" t="s">
        <v>133</v>
      </c>
      <c r="B60" s="19">
        <f>B11</f>
        <v>103500</v>
      </c>
    </row>
    <row r="61" spans="1:10" x14ac:dyDescent="0.25">
      <c r="A61" s="13" t="s">
        <v>134</v>
      </c>
      <c r="B61" s="19">
        <f>B20</f>
        <v>35000</v>
      </c>
    </row>
    <row r="62" spans="1:10" x14ac:dyDescent="0.25">
      <c r="A62" s="13" t="s">
        <v>108</v>
      </c>
      <c r="B62" s="19">
        <f>B37</f>
        <v>0</v>
      </c>
    </row>
    <row r="63" spans="1:10" x14ac:dyDescent="0.25">
      <c r="A63" s="13" t="s">
        <v>116</v>
      </c>
      <c r="B63" s="19">
        <f>B45</f>
        <v>0</v>
      </c>
    </row>
    <row r="64" spans="1:10" x14ac:dyDescent="0.25">
      <c r="A64" s="13" t="s">
        <v>135</v>
      </c>
      <c r="B64" s="19">
        <f>J52*PenUncovered</f>
        <v>79800</v>
      </c>
    </row>
    <row r="65" spans="1:4" x14ac:dyDescent="0.25">
      <c r="A65" s="13" t="s">
        <v>136</v>
      </c>
      <c r="B65" s="19">
        <f>I52*PenDiverted</f>
        <v>54150</v>
      </c>
    </row>
    <row r="66" spans="1:4" x14ac:dyDescent="0.25">
      <c r="A66" s="13" t="s">
        <v>137</v>
      </c>
      <c r="B66" s="19">
        <f>F36*PenBedHr</f>
        <v>15600</v>
      </c>
    </row>
    <row r="67" spans="1:4" x14ac:dyDescent="0.25">
      <c r="A67" s="20" t="s">
        <v>138</v>
      </c>
      <c r="B67" s="21">
        <f>SUM(B59:B66)</f>
        <v>445550</v>
      </c>
    </row>
    <row r="69" spans="1:4" ht="15.75" x14ac:dyDescent="0.25">
      <c r="A69" s="5" t="s">
        <v>139</v>
      </c>
      <c r="B69" s="6"/>
      <c r="C69" s="6"/>
      <c r="D69" s="6"/>
    </row>
    <row r="70" spans="1:4" x14ac:dyDescent="0.25">
      <c r="A70" s="22" t="s">
        <v>140</v>
      </c>
      <c r="B70" s="38">
        <f>B67</f>
        <v>445550</v>
      </c>
    </row>
    <row r="71" spans="1:4" x14ac:dyDescent="0.25">
      <c r="A71" s="22" t="s">
        <v>141</v>
      </c>
      <c r="B71" s="23">
        <f>1-H52/SUM(B6:B8)</f>
        <v>0.92962962962962958</v>
      </c>
    </row>
    <row r="72" spans="1:4" x14ac:dyDescent="0.25">
      <c r="A72" s="22" t="s">
        <v>142</v>
      </c>
      <c r="B72" s="23">
        <f>(SUM(H24:H26)*OTCost_Doc+SUM(H6:H8)*OTCost_Nurse+SUM(H15:H17)*OTCost_Tech)/(B29+B11+B20)</f>
        <v>4.5608108108108107E-2</v>
      </c>
    </row>
    <row r="73" spans="1:4" x14ac:dyDescent="0.25">
      <c r="A73" s="22" t="s">
        <v>143</v>
      </c>
      <c r="B73" s="23">
        <f>E36/D36</f>
        <v>0.76139705882352948</v>
      </c>
    </row>
    <row r="74" spans="1:4" x14ac:dyDescent="0.25">
      <c r="A74" s="22" t="s">
        <v>144</v>
      </c>
      <c r="B74" s="24">
        <f>I52</f>
        <v>5.7</v>
      </c>
    </row>
    <row r="75" spans="1:4" x14ac:dyDescent="0.25">
      <c r="A75" s="22" t="s">
        <v>145</v>
      </c>
      <c r="B75" s="24">
        <f>J52</f>
        <v>13.3</v>
      </c>
    </row>
    <row r="76" spans="1:4" x14ac:dyDescent="0.25">
      <c r="A76" s="22" t="s">
        <v>146</v>
      </c>
      <c r="B76" s="22" t="str">
        <f>B54</f>
        <v>Evening</v>
      </c>
    </row>
    <row r="77" spans="1:4" ht="30" x14ac:dyDescent="0.25">
      <c r="A77" s="22" t="s">
        <v>147</v>
      </c>
      <c r="B77" s="25" t="str">
        <f>B55</f>
        <v>Lab
Shortfall</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showGridLines="0" zoomScaleNormal="100" workbookViewId="0">
      <selection activeCell="D13" sqref="D13"/>
    </sheetView>
  </sheetViews>
  <sheetFormatPr defaultColWidth="8.7109375" defaultRowHeight="15" x14ac:dyDescent="0.25"/>
  <cols>
    <col min="1" max="1" width="34" customWidth="1"/>
    <col min="2" max="2" width="22" customWidth="1"/>
    <col min="3" max="3" width="24" customWidth="1"/>
    <col min="4" max="4" width="22" customWidth="1"/>
  </cols>
  <sheetData>
    <row r="1" spans="1:4" ht="18" x14ac:dyDescent="0.25">
      <c r="A1" s="1" t="s">
        <v>148</v>
      </c>
    </row>
    <row r="2" spans="1:4" x14ac:dyDescent="0.25">
      <c r="A2" s="4" t="s">
        <v>149</v>
      </c>
    </row>
    <row r="4" spans="1:4" ht="30" customHeight="1" x14ac:dyDescent="0.25">
      <c r="A4" s="26" t="s">
        <v>150</v>
      </c>
      <c r="B4" s="27" t="s">
        <v>151</v>
      </c>
      <c r="C4" s="27" t="s">
        <v>152</v>
      </c>
      <c r="D4" s="27" t="s">
        <v>153</v>
      </c>
    </row>
    <row r="5" spans="1:4" x14ac:dyDescent="0.25">
      <c r="A5" s="13" t="s">
        <v>154</v>
      </c>
      <c r="B5" s="11">
        <v>0.85</v>
      </c>
      <c r="C5" s="11">
        <v>0.95</v>
      </c>
      <c r="D5" s="11">
        <v>0.99</v>
      </c>
    </row>
    <row r="6" spans="1:4" x14ac:dyDescent="0.25">
      <c r="A6" s="13" t="s">
        <v>155</v>
      </c>
      <c r="B6" s="28">
        <v>0</v>
      </c>
      <c r="C6" s="28">
        <v>3</v>
      </c>
      <c r="D6" s="28">
        <v>6</v>
      </c>
    </row>
    <row r="7" spans="1:4" x14ac:dyDescent="0.25">
      <c r="A7" s="13" t="s">
        <v>156</v>
      </c>
      <c r="B7" s="28">
        <v>0</v>
      </c>
      <c r="C7" s="28">
        <v>0</v>
      </c>
      <c r="D7" s="28">
        <v>1</v>
      </c>
    </row>
    <row r="8" spans="1:4" x14ac:dyDescent="0.25">
      <c r="A8" s="13" t="s">
        <v>157</v>
      </c>
      <c r="B8" s="28">
        <v>0</v>
      </c>
      <c r="C8" s="28">
        <v>1</v>
      </c>
      <c r="D8" s="28">
        <v>1</v>
      </c>
    </row>
    <row r="10" spans="1:4" ht="15.75" x14ac:dyDescent="0.25">
      <c r="A10" s="5" t="s">
        <v>158</v>
      </c>
      <c r="B10" s="6"/>
      <c r="C10" s="6"/>
      <c r="D10" s="6"/>
    </row>
    <row r="11" spans="1:4" x14ac:dyDescent="0.25">
      <c r="A11" s="13" t="s">
        <v>159</v>
      </c>
      <c r="B11" s="19">
        <f>(MIN((CEILING((B5)*(Arr_M*(1+0.5*Acuity_M))/Cap_Doc,1)+CEILING((B5)*(Arr_E*(1+0.5*Acuity_E))/Cap_Doc,1)+CEILING((B5)*(Arr_N*(1+0.5*Acuity_N))/Cap_Doc,1)),Avail_Doc))*RegCost_Doc+(MIN(MAX((CEILING((B5)*(Arr_M*(1+0.5*Acuity_M))/Cap_Doc,1)+CEILING((B5)*(Arr_E*(1+0.5*Acuity_E))/Cap_Doc,1)+CEILING((B5)*(Arr_N*(1+0.5*Acuity_N))/Cap_Doc,1))-Avail_Doc,0),OTCapPct*MIN((CEILING((B5)*(Arr_M*(1+0.5*Acuity_M))/Cap_Doc,1)+CEILING((B5)*(Arr_E*(1+0.5*Acuity_E))/Cap_Doc,1)+CEILING((B5)*(Arr_N*(1+0.5*Acuity_N))/Cap_Doc,1)),Avail_Doc)))*OTCost_Doc+(MIN((CEILING((B5)*(Arr_M)/Cap_Nurse,1)+CEILING((B5)*(Arr_E)/Cap_Nurse,1)+CEILING((B5)*(Arr_N)/Cap_Nurse,1)),Avail_Nurse))*RegCost_Nurse+(MIN(MAX((CEILING((B5)*(Arr_M)/Cap_Nurse,1)+CEILING((B5)*(Arr_E)/Cap_Nurse,1)+CEILING((B5)*(Arr_N)/Cap_Nurse,1))-Avail_Nurse,0),OTCapPct*MIN((CEILING((B5)*(Arr_M)/Cap_Nurse,1)+CEILING((B5)*(Arr_E)/Cap_Nurse,1)+CEILING((B5)*(Arr_N)/Cap_Nurse,1)),Avail_Nurse)))*OTCost_Nurse+(MIN((CEILING((B5)*(Arr_M)/Cap_Tech,1)+CEILING((B5)*(Arr_E)/Cap_Tech,1)+CEILING((B5)*(Arr_N)/Cap_Tech,1)),Avail_Tech))*RegCost_Tech+(MIN(MAX((CEILING((B5)*(Arr_M)/Cap_Tech,1)+CEILING((B5)*(Arr_E)/Cap_Tech,1)+CEILING((B5)*(Arr_N)/Cap_Tech,1))-Avail_Tech,0),OTCapPct*MIN((CEILING((B5)*(Arr_M)/Cap_Tech,1)+CEILING((B5)*(Arr_E)/Cap_Tech,1)+CEILING((B5)*(Arr_N)/Cap_Tech,1)),Avail_Tech)))*OTCost_Tech</f>
        <v>270000</v>
      </c>
      <c r="C11" s="19">
        <f>(MIN((CEILING((C5)*(Arr_M*(1+0.5*Acuity_M))/Cap_Doc,1)+CEILING((C5)*(Arr_E*(1+0.5*Acuity_E))/Cap_Doc,1)+CEILING((C5)*(Arr_N*(1+0.5*Acuity_N))/Cap_Doc,1)),Avail_Doc))*RegCost_Doc+(MIN(MAX((CEILING((C5)*(Arr_M*(1+0.5*Acuity_M))/Cap_Doc,1)+CEILING((C5)*(Arr_E*(1+0.5*Acuity_E))/Cap_Doc,1)+CEILING((C5)*(Arr_N*(1+0.5*Acuity_N))/Cap_Doc,1))-Avail_Doc,0),OTCapPct*MIN((CEILING((C5)*(Arr_M*(1+0.5*Acuity_M))/Cap_Doc,1)+CEILING((C5)*(Arr_E*(1+0.5*Acuity_E))/Cap_Doc,1)+CEILING((C5)*(Arr_N*(1+0.5*Acuity_N))/Cap_Doc,1)),Avail_Doc)))*OTCost_Doc+(MIN((CEILING((C5)*(Arr_M)/Cap_Nurse,1)+CEILING((C5)*(Arr_E)/Cap_Nurse,1)+CEILING((C5)*(Arr_N)/Cap_Nurse,1)),Avail_Nurse))*RegCost_Nurse+(MIN(MAX((CEILING((C5)*(Arr_M)/Cap_Nurse,1)+CEILING((C5)*(Arr_E)/Cap_Nurse,1)+CEILING((C5)*(Arr_N)/Cap_Nurse,1))-Avail_Nurse,0),OTCapPct*MIN((CEILING((C5)*(Arr_M)/Cap_Nurse,1)+CEILING((C5)*(Arr_E)/Cap_Nurse,1)+CEILING((C5)*(Arr_N)/Cap_Nurse,1)),Avail_Nurse)))*OTCost_Nurse+(MIN((CEILING((C5)*(Arr_M)/Cap_Tech,1)+CEILING((C5)*(Arr_E)/Cap_Tech,1)+CEILING((C5)*(Arr_N)/Cap_Tech,1)),Avail_Tech))*RegCost_Tech+(MIN(MAX((CEILING((C5)*(Arr_M)/Cap_Tech,1)+CEILING((C5)*(Arr_E)/Cap_Tech,1)+CEILING((C5)*(Arr_N)/Cap_Tech,1))-Avail_Tech,0),OTCapPct*MIN((CEILING((C5)*(Arr_M)/Cap_Tech,1)+CEILING((C5)*(Arr_E)/Cap_Tech,1)+CEILING((C5)*(Arr_N)/Cap_Tech,1)),Avail_Tech)))*OTCost_Tech</f>
        <v>296000</v>
      </c>
      <c r="D11" s="19">
        <f>(MIN((CEILING((D5)*(Arr_M*(1+0.5*Acuity_M))/Cap_Doc,1)+CEILING((D5)*(Arr_E*(1+0.5*Acuity_E))/Cap_Doc,1)+CEILING((D5)*(Arr_N*(1+0.5*Acuity_N))/Cap_Doc,1)),Avail_Doc))*RegCost_Doc+(MIN(MAX((CEILING((D5)*(Arr_M*(1+0.5*Acuity_M))/Cap_Doc,1)+CEILING((D5)*(Arr_E*(1+0.5*Acuity_E))/Cap_Doc,1)+CEILING((D5)*(Arr_N*(1+0.5*Acuity_N))/Cap_Doc,1))-Avail_Doc,0),OTCapPct*MIN((CEILING((D5)*(Arr_M*(1+0.5*Acuity_M))/Cap_Doc,1)+CEILING((D5)*(Arr_E*(1+0.5*Acuity_E))/Cap_Doc,1)+CEILING((D5)*(Arr_N*(1+0.5*Acuity_N))/Cap_Doc,1)),Avail_Doc)))*OTCost_Doc+(MIN((CEILING((D5)*(Arr_M)/Cap_Nurse,1)+CEILING((D5)*(Arr_E)/Cap_Nurse,1)+CEILING((D5)*(Arr_N)/Cap_Nurse,1)),Avail_Nurse))*RegCost_Nurse+(MIN(MAX((CEILING((D5)*(Arr_M)/Cap_Nurse,1)+CEILING((D5)*(Arr_E)/Cap_Nurse,1)+CEILING((D5)*(Arr_N)/Cap_Nurse,1))-Avail_Nurse,0),OTCapPct*MIN((CEILING((D5)*(Arr_M)/Cap_Nurse,1)+CEILING((D5)*(Arr_E)/Cap_Nurse,1)+CEILING((D5)*(Arr_N)/Cap_Nurse,1)),Avail_Nurse)))*OTCost_Nurse+(MIN((CEILING((D5)*(Arr_M)/Cap_Tech,1)+CEILING((D5)*(Arr_E)/Cap_Tech,1)+CEILING((D5)*(Arr_N)/Cap_Tech,1)),Avail_Tech))*RegCost_Tech+(MIN(MAX((CEILING((D5)*(Arr_M)/Cap_Tech,1)+CEILING((D5)*(Arr_E)/Cap_Tech,1)+CEILING((D5)*(Arr_N)/Cap_Tech,1))-Avail_Tech,0),OTCapPct*MIN((CEILING((D5)*(Arr_M)/Cap_Tech,1)+CEILING((D5)*(Arr_E)/Cap_Tech,1)+CEILING((D5)*(Arr_N)/Cap_Tech,1)),Avail_Tech)))*OTCost_Tech</f>
        <v>327500</v>
      </c>
    </row>
    <row r="12" spans="1:4" x14ac:dyDescent="0.25">
      <c r="A12" s="13" t="s">
        <v>160</v>
      </c>
      <c r="B12" s="19">
        <f>B6*BedCostPerBed+B7*ImgExpCost+B8*LabExpCost</f>
        <v>0</v>
      </c>
      <c r="C12" s="19">
        <f>C6*BedCostPerBed+C7*ImgExpCost+C8*LabExpCost</f>
        <v>16500</v>
      </c>
      <c r="D12" s="19">
        <f>D6*BedCostPerBed+D7*ImgExpCost+D8*LabExpCost</f>
        <v>39000</v>
      </c>
    </row>
    <row r="13" spans="1:4" x14ac:dyDescent="0.25">
      <c r="A13" s="13" t="s">
        <v>161</v>
      </c>
      <c r="B13" s="29">
        <f>(MAX(0,((CEILING((B5)*(Arr_M*(1+0.5*Acuity_M))/Cap_Doc,1)+CEILING((B5)*(Arr_E*(1+0.5*Acuity_E))/Cap_Doc,1)+CEILING((B5)*(Arr_N*(1+0.5*Acuity_N))/Cap_Doc,1)))-Avail_Doc-OTCapPct*MIN((CEILING((B5)*(Arr_M*(1+0.5*Acuity_M))/Cap_Doc,1)+CEILING((B5)*(Arr_E*(1+0.5*Acuity_E))/Cap_Doc,1)+CEILING((B5)*(Arr_N*(1+0.5*Acuity_N))/Cap_Doc,1)),Avail_Doc)))*Cap_Doc+(MAX(0,((CEILING((B5)*(Arr_M)/Cap_Nurse,1)+CEILING((B5)*(Arr_E)/Cap_Nurse,1)+CEILING((B5)*(Arr_N)/Cap_Nurse,1)))-Avail_Nurse-OTCapPct*MIN((CEILING((B5)*(Arr_M)/Cap_Nurse,1)+CEILING((B5)*(Arr_E)/Cap_Nurse,1)+CEILING((B5)*(Arr_N)/Cap_Nurse,1)),Avail_Nurse)))*Cap_Nurse+(MAX(0,((CEILING((B5)*(Arr_M)/Cap_Tech,1)+CEILING((B5)*(Arr_E)/Cap_Tech,1)+CEILING((B5)*(Arr_N)/Cap_Tech,1)))-Avail_Tech-OTCapPct*MIN((CEILING((B5)*(Arr_M)/Cap_Tech,1)+CEILING((B5)*(Arr_E)/Cap_Tech,1)+CEILING((B5)*(Arr_N)/Cap_Tech,1)),Avail_Tech)))*Cap_Tech+(MAX(0,(B5)*Arr_M-(B6+BedsCurrent)*ShiftHours/BedHr_M)+MAX(0,(B5)*Arr_E-(B6+BedsCurrent)*ShiftHours/BedHr_E)+MAX(0,(B5)*Arr_N-(B6+BedsCurrent)*ShiftHours/BedHr_N))+(MAX(0,(B5)*Arr_M*Acuity_M-(ImgBase+B7*ImgExpAdd))+MAX(0,(B5)*Arr_E*Acuity_E-(ImgBase+B7*ImgExpAdd))+MAX(0,(B5)*Arr_N*Acuity_N-(ImgBase+B7*ImgExpAdd)))+(MAX(0,(B5)*Arr_M-(LabBase+B8*LabExpAdd))+MAX(0,(B5)*Arr_E-(LabBase+B8*LabExpAdd))+MAX(0,(B5)*Arr_N-(LabBase+B8*LabExpAdd)))</f>
        <v>7</v>
      </c>
      <c r="C13" s="29">
        <f>(MAX(0,((CEILING((C5)*(Arr_M*(1+0.5*Acuity_M))/Cap_Doc,1)+CEILING((C5)*(Arr_E*(1+0.5*Acuity_E))/Cap_Doc,1)+CEILING((C5)*(Arr_N*(1+0.5*Acuity_N))/Cap_Doc,1)))-Avail_Doc-OTCapPct*MIN((CEILING((C5)*(Arr_M*(1+0.5*Acuity_M))/Cap_Doc,1)+CEILING((C5)*(Arr_E*(1+0.5*Acuity_E))/Cap_Doc,1)+CEILING((C5)*(Arr_N*(1+0.5*Acuity_N))/Cap_Doc,1)),Avail_Doc)))*Cap_Doc+(MAX(0,((CEILING((C5)*(Arr_M)/Cap_Nurse,1)+CEILING((C5)*(Arr_E)/Cap_Nurse,1)+CEILING((C5)*(Arr_N)/Cap_Nurse,1)))-Avail_Nurse-OTCapPct*MIN((CEILING((C5)*(Arr_M)/Cap_Nurse,1)+CEILING((C5)*(Arr_E)/Cap_Nurse,1)+CEILING((C5)*(Arr_N)/Cap_Nurse,1)),Avail_Nurse)))*Cap_Nurse+(MAX(0,((CEILING((C5)*(Arr_M)/Cap_Tech,1)+CEILING((C5)*(Arr_E)/Cap_Tech,1)+CEILING((C5)*(Arr_N)/Cap_Tech,1)))-Avail_Tech-OTCapPct*MIN((CEILING((C5)*(Arr_M)/Cap_Tech,1)+CEILING((C5)*(Arr_E)/Cap_Tech,1)+CEILING((C5)*(Arr_N)/Cap_Tech,1)),Avail_Tech)))*Cap_Tech+(MAX(0,(C5)*Arr_M-(C6+BedsCurrent)*ShiftHours/BedHr_M)+MAX(0,(C5)*Arr_E-(C6+BedsCurrent)*ShiftHours/BedHr_E)+MAX(0,(C5)*Arr_N-(C6+BedsCurrent)*ShiftHours/BedHr_N))+(MAX(0,(C5)*Arr_M*Acuity_M-(ImgBase+C7*ImgExpAdd))+MAX(0,(C5)*Arr_E*Acuity_E-(ImgBase+C7*ImgExpAdd))+MAX(0,(C5)*Arr_N*Acuity_N-(ImgBase+C7*ImgExpAdd)))+(MAX(0,(C5)*Arr_M-(LabBase+C8*LabExpAdd))+MAX(0,(C5)*Arr_E-(LabBase+C8*LabExpAdd))+MAX(0,(C5)*Arr_N-(LabBase+C8*LabExpAdd)))</f>
        <v>0</v>
      </c>
      <c r="D13" s="29">
        <f>(MAX(0,((CEILING((D5)*(Arr_M*(1+0.5*Acuity_M))/Cap_Doc,1)+CEILING((D5)*(Arr_E*(1+0.5*Acuity_E))/Cap_Doc,1)+CEILING((D5)*(Arr_N*(1+0.5*Acuity_N))/Cap_Doc,1)))-Avail_Doc-OTCapPct*MIN((CEILING((D5)*(Arr_M*(1+0.5*Acuity_M))/Cap_Doc,1)+CEILING((D5)*(Arr_E*(1+0.5*Acuity_E))/Cap_Doc,1)+CEILING((D5)*(Arr_N*(1+0.5*Acuity_N))/Cap_Doc,1)),Avail_Doc)))*Cap_Doc+(MAX(0,((CEILING((D5)*(Arr_M)/Cap_Nurse,1)+CEILING((D5)*(Arr_E)/Cap_Nurse,1)+CEILING((D5)*(Arr_N)/Cap_Nurse,1)))-Avail_Nurse-OTCapPct*MIN((CEILING((D5)*(Arr_M)/Cap_Nurse,1)+CEILING((D5)*(Arr_E)/Cap_Nurse,1)+CEILING((D5)*(Arr_N)/Cap_Nurse,1)),Avail_Nurse)))*Cap_Nurse+(MAX(0,((CEILING((D5)*(Arr_M)/Cap_Tech,1)+CEILING((D5)*(Arr_E)/Cap_Tech,1)+CEILING((D5)*(Arr_N)/Cap_Tech,1)))-Avail_Tech-OTCapPct*MIN((CEILING((D5)*(Arr_M)/Cap_Tech,1)+CEILING((D5)*(Arr_E)/Cap_Tech,1)+CEILING((D5)*(Arr_N)/Cap_Tech,1)),Avail_Tech)))*Cap_Tech+(MAX(0,(D5)*Arr_M-(D6+BedsCurrent)*ShiftHours/BedHr_M)+MAX(0,(D5)*Arr_E-(D6+BedsCurrent)*ShiftHours/BedHr_E)+MAX(0,(D5)*Arr_N-(D6+BedsCurrent)*ShiftHours/BedHr_N))+(MAX(0,(D5)*Arr_M*Acuity_M-(ImgBase+D7*ImgExpAdd))+MAX(0,(D5)*Arr_E*Acuity_E-(ImgBase+D7*ImgExpAdd))+MAX(0,(D5)*Arr_N*Acuity_N-(ImgBase+D7*ImgExpAdd)))+(MAX(0,(D5)*Arr_M-(LabBase+D8*LabExpAdd))+MAX(0,(D5)*Arr_E-(LabBase+D8*LabExpAdd))+MAX(0,(D5)*Arr_N-(LabBase+D8*LabExpAdd)))</f>
        <v>3.7999999999999972</v>
      </c>
    </row>
    <row r="14" spans="1:4" x14ac:dyDescent="0.25">
      <c r="A14" s="13" t="s">
        <v>162</v>
      </c>
      <c r="B14" s="19">
        <f>B13*(PenUncovered*(1-DivertShare)+PenDiverted*DivertShare)</f>
        <v>49350</v>
      </c>
      <c r="C14" s="19">
        <f>C13*(PenUncovered*(1-DivertShare)+PenDiverted*DivertShare)</f>
        <v>0</v>
      </c>
      <c r="D14" s="19">
        <f>D13*(PenUncovered*(1-DivertShare)+PenDiverted*DivertShare)</f>
        <v>26789.999999999978</v>
      </c>
    </row>
    <row r="15" spans="1:4" x14ac:dyDescent="0.25">
      <c r="A15" s="20" t="s">
        <v>163</v>
      </c>
      <c r="B15" s="30">
        <f>B11+B12+B14</f>
        <v>319350</v>
      </c>
      <c r="C15" s="30">
        <f>C11+C12+C14</f>
        <v>312500</v>
      </c>
      <c r="D15" s="30">
        <f>D11+D12+D14</f>
        <v>393290</v>
      </c>
    </row>
    <row r="16" spans="1:4" x14ac:dyDescent="0.25">
      <c r="A16" s="22" t="s">
        <v>164</v>
      </c>
      <c r="B16" s="23">
        <f>1-B13/(Arr_M+Arr_E+Arr_N)</f>
        <v>0.97407407407407409</v>
      </c>
      <c r="C16" s="23">
        <f>1-C13/(Arr_M+Arr_E+Arr_N)</f>
        <v>1</v>
      </c>
      <c r="D16" s="23">
        <f>1-D13/(Arr_M+Arr_E+Arr_N)</f>
        <v>0.98592592592592598</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2"/>
  <sheetViews>
    <sheetView showGridLines="0" topLeftCell="A21" zoomScaleNormal="100" workbookViewId="0"/>
  </sheetViews>
  <sheetFormatPr defaultColWidth="8.7109375" defaultRowHeight="15" x14ac:dyDescent="0.25"/>
  <cols>
    <col min="1" max="1" width="26" customWidth="1"/>
    <col min="2" max="5" width="16" customWidth="1"/>
    <col min="6" max="6" width="20" customWidth="1"/>
  </cols>
  <sheetData>
    <row r="1" spans="1:5" ht="18" x14ac:dyDescent="0.25">
      <c r="A1" s="1" t="s">
        <v>165</v>
      </c>
    </row>
    <row r="2" spans="1:5" x14ac:dyDescent="0.25">
      <c r="A2" s="4" t="s">
        <v>166</v>
      </c>
    </row>
    <row r="4" spans="1:5" ht="15.75" x14ac:dyDescent="0.25">
      <c r="A4" s="5" t="s">
        <v>167</v>
      </c>
      <c r="B4" s="6"/>
      <c r="C4" s="6"/>
      <c r="D4" s="6"/>
      <c r="E4" s="6"/>
    </row>
    <row r="5" spans="1:5" ht="30" x14ac:dyDescent="0.25">
      <c r="A5" s="27" t="s">
        <v>168</v>
      </c>
      <c r="B5" s="27" t="s">
        <v>169</v>
      </c>
      <c r="C5" s="27" t="s">
        <v>170</v>
      </c>
      <c r="D5" s="27" t="s">
        <v>171</v>
      </c>
      <c r="E5" s="27" t="s">
        <v>172</v>
      </c>
    </row>
    <row r="6" spans="1:5" x14ac:dyDescent="0.25">
      <c r="A6" s="31">
        <v>0.8</v>
      </c>
      <c r="B6" s="19">
        <f>((MIN((CEILING((0.8)*(Arr_M*(1+0.5*Acuity_M))/Cap_Doc,1)+CEILING((0.8)*(Arr_E*(1+0.5*Acuity_E))/Cap_Doc,1)+CEILING((0.8)*(Arr_N*(1+0.5*Acuity_N))/Cap_Doc,1)),Avail_Doc))*RegCost_Doc+(MIN(MAX((CEILING((0.8)*(Arr_M*(1+0.5*Acuity_M))/Cap_Doc,1)+CEILING((0.8)*(Arr_E*(1+0.5*Acuity_E))/Cap_Doc,1)+CEILING((0.8)*(Arr_N*(1+0.5*Acuity_N))/Cap_Doc,1))-Avail_Doc,0),(OTCapPct)*MIN((CEILING((0.8)*(Arr_M*(1+0.5*Acuity_M))/Cap_Doc,1)+CEILING((0.8)*(Arr_E*(1+0.5*Acuity_E))/Cap_Doc,1)+CEILING((0.8)*(Arr_N*(1+0.5*Acuity_N))/Cap_Doc,1)),Avail_Doc)))*OTCost_Doc+(MIN((CEILING((0.8)*(Arr_M)/Cap_Nurse,1)+CEILING((0.8)*(Arr_E)/Cap_Nurse,1)+CEILING((0.8)*(Arr_N)/Cap_Nurse,1)),Avail_Nurse))*RegCost_Nurse+(MIN(MAX((CEILING((0.8)*(Arr_M)/Cap_Nurse,1)+CEILING((0.8)*(Arr_E)/Cap_Nurse,1)+CEILING((0.8)*(Arr_N)/Cap_Nurse,1))-Avail_Nurse,0),(OTCapPct)*MIN((CEILING((0.8)*(Arr_M)/Cap_Nurse,1)+CEILING((0.8)*(Arr_E)/Cap_Nurse,1)+CEILING((0.8)*(Arr_N)/Cap_Nurse,1)),Avail_Nurse)))*OTCost_Nurse+(MIN((CEILING((0.8)*(Arr_M)/Cap_Tech,1)+CEILING((0.8)*(Arr_E)/Cap_Tech,1)+CEILING((0.8)*(Arr_N)/Cap_Tech,1)),Avail_Tech))*RegCost_Tech+(MIN(MAX((CEILING((0.8)*(Arr_M)/Cap_Tech,1)+CEILING((0.8)*(Arr_E)/Cap_Tech,1)+CEILING((0.8)*(Arr_N)/Cap_Tech,1))-Avail_Tech,0),(OTCapPct)*MIN((CEILING((0.8)*(Arr_M)/Cap_Tech,1)+CEILING((0.8)*(Arr_E)/Cap_Tech,1)+CEILING((0.8)*(Arr_N)/Cap_Tech,1)),Avail_Tech)))*OTCost_Tech)+((BedsAdded)*BedCostPerBed+(ImgExpOn)*ImgExpCost+(LabExpOn)*LabExpCost)+(((MAX(0,((CEILING((0.8)*(Arr_M*(1+0.5*Acuity_M))/Cap_Doc,1)+CEILING((0.8)*(Arr_E*(1+0.5*Acuity_E))/Cap_Doc,1)+CEILING((0.8)*(Arr_N*(1+0.5*Acuity_N))/Cap_Doc,1)))-Avail_Doc-(OTCapPct)*MIN((CEILING((0.8)*(Arr_M*(1+0.5*Acuity_M))/Cap_Doc,1)+CEILING((0.8)*(Arr_E*(1+0.5*Acuity_E))/Cap_Doc,1)+CEILING((0.8)*(Arr_N*(1+0.5*Acuity_N))/Cap_Doc,1)),Avail_Doc)))*Cap_Doc+(MAX(0,((CEILING((0.8)*(Arr_M)/Cap_Nurse,1)+CEILING((0.8)*(Arr_E)/Cap_Nurse,1)+CEILING((0.8)*(Arr_N)/Cap_Nurse,1)))-Avail_Nurse-(OTCapPct)*MIN((CEILING((0.8)*(Arr_M)/Cap_Nurse,1)+CEILING((0.8)*(Arr_E)/Cap_Nurse,1)+CEILING((0.8)*(Arr_N)/Cap_Nurse,1)),Avail_Nurse)))*Cap_Nurse+(MAX(0,((CEILING((0.8)*(Arr_M)/Cap_Tech,1)+CEILING((0.8)*(Arr_E)/Cap_Tech,1)+CEILING((0.8)*(Arr_N)/Cap_Tech,1)))-Avail_Tech-(OTCapPct)*MIN((CEILING((0.8)*(Arr_M)/Cap_Tech,1)+CEILING((0.8)*(Arr_E)/Cap_Tech,1)+CEILING((0.8)*(Arr_N)/Cap_Tech,1)),Avail_Tech)))*Cap_Tech+(MAX(0,(0.8)*Arr_M-(BedsAdded+BedsCurrent)*ShiftHours/BedHr_M)+MAX(0,(0.8)*Arr_E-(BedsAdded+BedsCurrent)*ShiftHours/BedHr_E)+MAX(0,(0.8)*Arr_N-(BedsAdded+BedsCurrent)*ShiftHours/BedHr_N))+(MAX(0,(0.8)*Arr_M*Acuity_M-(ImgBase+(ImgExpOn)*ImgExpAdd))+MAX(0,(0.8)*Arr_E*Acuity_E-(ImgBase+(ImgExpOn)*ImgExpAdd))+MAX(0,(0.8)*Arr_N*Acuity_N-(ImgBase+(ImgExpOn)*ImgExpAdd)))+(MAX(0,(0.8)*Arr_M-(LabBase+(LabExpOn)*LabExpAdd))+MAX(0,(0.8)*Arr_E-(LabBase+(LabExpOn)*LabExpAdd))+MAX(0,(0.8)*Arr_N-(LabBase+(LabExpOn)*LabExpAdd))))*(PenUncovered*(1-DivertShare)+PenDiverted*DivertShare))</f>
        <v>268050</v>
      </c>
      <c r="C6" s="32">
        <f>1-((MAX(0,((CEILING((0.8)*(Arr_M*(1+0.5*Acuity_M))/Cap_Doc,1)+CEILING((0.8)*(Arr_E*(1+0.5*Acuity_E))/Cap_Doc,1)+CEILING((0.8)*(Arr_N*(1+0.5*Acuity_N))/Cap_Doc,1)))-Avail_Doc-(OTCapPct)*MIN((CEILING((0.8)*(Arr_M*(1+0.5*Acuity_M))/Cap_Doc,1)+CEILING((0.8)*(Arr_E*(1+0.5*Acuity_E))/Cap_Doc,1)+CEILING((0.8)*(Arr_N*(1+0.5*Acuity_N))/Cap_Doc,1)),Avail_Doc)))*Cap_Doc+(MAX(0,((CEILING((0.8)*(Arr_M)/Cap_Nurse,1)+CEILING((0.8)*(Arr_E)/Cap_Nurse,1)+CEILING((0.8)*(Arr_N)/Cap_Nurse,1)))-Avail_Nurse-(OTCapPct)*MIN((CEILING((0.8)*(Arr_M)/Cap_Nurse,1)+CEILING((0.8)*(Arr_E)/Cap_Nurse,1)+CEILING((0.8)*(Arr_N)/Cap_Nurse,1)),Avail_Nurse)))*Cap_Nurse+(MAX(0,((CEILING((0.8)*(Arr_M)/Cap_Tech,1)+CEILING((0.8)*(Arr_E)/Cap_Tech,1)+CEILING((0.8)*(Arr_N)/Cap_Tech,1)))-Avail_Tech-(OTCapPct)*MIN((CEILING((0.8)*(Arr_M)/Cap_Tech,1)+CEILING((0.8)*(Arr_E)/Cap_Tech,1)+CEILING((0.8)*(Arr_N)/Cap_Tech,1)),Avail_Tech)))*Cap_Tech+(MAX(0,(0.8)*Arr_M-(BedsAdded+BedsCurrent)*ShiftHours/BedHr_M)+MAX(0,(0.8)*Arr_E-(BedsAdded+BedsCurrent)*ShiftHours/BedHr_E)+MAX(0,(0.8)*Arr_N-(BedsAdded+BedsCurrent)*ShiftHours/BedHr_N))+(MAX(0,(0.8)*Arr_M*Acuity_M-(ImgBase+(ImgExpOn)*ImgExpAdd))+MAX(0,(0.8)*Arr_E*Acuity_E-(ImgBase+(ImgExpOn)*ImgExpAdd))+MAX(0,(0.8)*Arr_N*Acuity_N-(ImgBase+(ImgExpOn)*ImgExpAdd)))+(MAX(0,(0.8)*Arr_M-(LabBase+(LabExpOn)*LabExpAdd))+MAX(0,(0.8)*Arr_E-(LabBase+(LabExpOn)*LabExpAdd))+MAX(0,(0.8)*Arr_N-(LabBase+(LabExpOn)*LabExpAdd))))/(Arr_M+Arr_E+Arr_N)</f>
        <v>0.99629629629629635</v>
      </c>
      <c r="D6" s="29">
        <f>(MAX(0,((CEILING((0.8)*(Arr_M*(1+0.5*Acuity_M))/Cap_Doc,1)+CEILING((0.8)*(Arr_E*(1+0.5*Acuity_E))/Cap_Doc,1)+CEILING((0.8)*(Arr_N*(1+0.5*Acuity_N))/Cap_Doc,1)))-Avail_Doc-(OTCapPct)*MIN((CEILING((0.8)*(Arr_M*(1+0.5*Acuity_M))/Cap_Doc,1)+CEILING((0.8)*(Arr_E*(1+0.5*Acuity_E))/Cap_Doc,1)+CEILING((0.8)*(Arr_N*(1+0.5*Acuity_N))/Cap_Doc,1)),Avail_Doc)))*Cap_Doc+(MAX(0,((CEILING((0.8)*(Arr_M)/Cap_Nurse,1)+CEILING((0.8)*(Arr_E)/Cap_Nurse,1)+CEILING((0.8)*(Arr_N)/Cap_Nurse,1)))-Avail_Nurse-(OTCapPct)*MIN((CEILING((0.8)*(Arr_M)/Cap_Nurse,1)+CEILING((0.8)*(Arr_E)/Cap_Nurse,1)+CEILING((0.8)*(Arr_N)/Cap_Nurse,1)),Avail_Nurse)))*Cap_Nurse+(MAX(0,((CEILING((0.8)*(Arr_M)/Cap_Tech,1)+CEILING((0.8)*(Arr_E)/Cap_Tech,1)+CEILING((0.8)*(Arr_N)/Cap_Tech,1)))-Avail_Tech-(OTCapPct)*MIN((CEILING((0.8)*(Arr_M)/Cap_Tech,1)+CEILING((0.8)*(Arr_E)/Cap_Tech,1)+CEILING((0.8)*(Arr_N)/Cap_Tech,1)),Avail_Tech)))*Cap_Tech+(MAX(0,(0.8)*Arr_M-(BedsAdded+BedsCurrent)*ShiftHours/BedHr_M)+MAX(0,(0.8)*Arr_E-(BedsAdded+BedsCurrent)*ShiftHours/BedHr_E)+MAX(0,(0.8)*Arr_N-(BedsAdded+BedsCurrent)*ShiftHours/BedHr_N))+(MAX(0,(0.8)*Arr_M*Acuity_M-(ImgBase+(ImgExpOn)*ImgExpAdd))+MAX(0,(0.8)*Arr_E*Acuity_E-(ImgBase+(ImgExpOn)*ImgExpAdd))+MAX(0,(0.8)*Arr_N*Acuity_N-(ImgBase+(ImgExpOn)*ImgExpAdd)))+(MAX(0,(0.8)*Arr_M-(LabBase+(LabExpOn)*LabExpAdd))+MAX(0,(0.8)*Arr_E-(LabBase+(LabExpOn)*LabExpAdd))+MAX(0,(0.8)*Arr_N-(LabBase+(LabExpOn)*LabExpAdd)))</f>
        <v>1</v>
      </c>
      <c r="E6" s="33">
        <f>B6-B11</f>
        <v>-198560</v>
      </c>
    </row>
    <row r="7" spans="1:5" x14ac:dyDescent="0.25">
      <c r="A7" s="31">
        <v>0.85</v>
      </c>
      <c r="B7" s="19">
        <f>((MIN((CEILING((0.85)*(Arr_M*(1+0.5*Acuity_M))/Cap_Doc,1)+CEILING((0.85)*(Arr_E*(1+0.5*Acuity_E))/Cap_Doc,1)+CEILING((0.85)*(Arr_N*(1+0.5*Acuity_N))/Cap_Doc,1)),Avail_Doc))*RegCost_Doc+(MIN(MAX((CEILING((0.85)*(Arr_M*(1+0.5*Acuity_M))/Cap_Doc,1)+CEILING((0.85)*(Arr_E*(1+0.5*Acuity_E))/Cap_Doc,1)+CEILING((0.85)*(Arr_N*(1+0.5*Acuity_N))/Cap_Doc,1))-Avail_Doc,0),(OTCapPct)*MIN((CEILING((0.85)*(Arr_M*(1+0.5*Acuity_M))/Cap_Doc,1)+CEILING((0.85)*(Arr_E*(1+0.5*Acuity_E))/Cap_Doc,1)+CEILING((0.85)*(Arr_N*(1+0.5*Acuity_N))/Cap_Doc,1)),Avail_Doc)))*OTCost_Doc+(MIN((CEILING((0.85)*(Arr_M)/Cap_Nurse,1)+CEILING((0.85)*(Arr_E)/Cap_Nurse,1)+CEILING((0.85)*(Arr_N)/Cap_Nurse,1)),Avail_Nurse))*RegCost_Nurse+(MIN(MAX((CEILING((0.85)*(Arr_M)/Cap_Nurse,1)+CEILING((0.85)*(Arr_E)/Cap_Nurse,1)+CEILING((0.85)*(Arr_N)/Cap_Nurse,1))-Avail_Nurse,0),(OTCapPct)*MIN((CEILING((0.85)*(Arr_M)/Cap_Nurse,1)+CEILING((0.85)*(Arr_E)/Cap_Nurse,1)+CEILING((0.85)*(Arr_N)/Cap_Nurse,1)),Avail_Nurse)))*OTCost_Nurse+(MIN((CEILING((0.85)*(Arr_M)/Cap_Tech,1)+CEILING((0.85)*(Arr_E)/Cap_Tech,1)+CEILING((0.85)*(Arr_N)/Cap_Tech,1)),Avail_Tech))*RegCost_Tech+(MIN(MAX((CEILING((0.85)*(Arr_M)/Cap_Tech,1)+CEILING((0.85)*(Arr_E)/Cap_Tech,1)+CEILING((0.85)*(Arr_N)/Cap_Tech,1))-Avail_Tech,0),(OTCapPct)*MIN((CEILING((0.85)*(Arr_M)/Cap_Tech,1)+CEILING((0.85)*(Arr_E)/Cap_Tech,1)+CEILING((0.85)*(Arr_N)/Cap_Tech,1)),Avail_Tech)))*OTCost_Tech)+((BedsAdded)*BedCostPerBed+(ImgExpOn)*ImgExpCost+(LabExpOn)*LabExpCost)+(((MAX(0,((CEILING((0.85)*(Arr_M*(1+0.5*Acuity_M))/Cap_Doc,1)+CEILING((0.85)*(Arr_E*(1+0.5*Acuity_E))/Cap_Doc,1)+CEILING((0.85)*(Arr_N*(1+0.5*Acuity_N))/Cap_Doc,1)))-Avail_Doc-(OTCapPct)*MIN((CEILING((0.85)*(Arr_M*(1+0.5*Acuity_M))/Cap_Doc,1)+CEILING((0.85)*(Arr_E*(1+0.5*Acuity_E))/Cap_Doc,1)+CEILING((0.85)*(Arr_N*(1+0.5*Acuity_N))/Cap_Doc,1)),Avail_Doc)))*Cap_Doc+(MAX(0,((CEILING((0.85)*(Arr_M)/Cap_Nurse,1)+CEILING((0.85)*(Arr_E)/Cap_Nurse,1)+CEILING((0.85)*(Arr_N)/Cap_Nurse,1)))-Avail_Nurse-(OTCapPct)*MIN((CEILING((0.85)*(Arr_M)/Cap_Nurse,1)+CEILING((0.85)*(Arr_E)/Cap_Nurse,1)+CEILING((0.85)*(Arr_N)/Cap_Nurse,1)),Avail_Nurse)))*Cap_Nurse+(MAX(0,((CEILING((0.85)*(Arr_M)/Cap_Tech,1)+CEILING((0.85)*(Arr_E)/Cap_Tech,1)+CEILING((0.85)*(Arr_N)/Cap_Tech,1)))-Avail_Tech-(OTCapPct)*MIN((CEILING((0.85)*(Arr_M)/Cap_Tech,1)+CEILING((0.85)*(Arr_E)/Cap_Tech,1)+CEILING((0.85)*(Arr_N)/Cap_Tech,1)),Avail_Tech)))*Cap_Tech+(MAX(0,(0.85)*Arr_M-(BedsAdded+BedsCurrent)*ShiftHours/BedHr_M)+MAX(0,(0.85)*Arr_E-(BedsAdded+BedsCurrent)*ShiftHours/BedHr_E)+MAX(0,(0.85)*Arr_N-(BedsAdded+BedsCurrent)*ShiftHours/BedHr_N))+(MAX(0,(0.85)*Arr_M*Acuity_M-(ImgBase+(ImgExpOn)*ImgExpAdd))+MAX(0,(0.85)*Arr_E*Acuity_E-(ImgBase+(ImgExpOn)*ImgExpAdd))+MAX(0,(0.85)*Arr_N*Acuity_N-(ImgBase+(ImgExpOn)*ImgExpAdd)))+(MAX(0,(0.85)*Arr_M-(LabBase+(LabExpOn)*LabExpAdd))+MAX(0,(0.85)*Arr_E-(LabBase+(LabExpOn)*LabExpAdd))+MAX(0,(0.85)*Arr_N-(LabBase+(LabExpOn)*LabExpAdd))))*(PenUncovered*(1-DivertShare)+PenDiverted*DivertShare))</f>
        <v>319350</v>
      </c>
      <c r="C7" s="32">
        <f>1-((MAX(0,((CEILING((0.85)*(Arr_M*(1+0.5*Acuity_M))/Cap_Doc,1)+CEILING((0.85)*(Arr_E*(1+0.5*Acuity_E))/Cap_Doc,1)+CEILING((0.85)*(Arr_N*(1+0.5*Acuity_N))/Cap_Doc,1)))-Avail_Doc-(OTCapPct)*MIN((CEILING((0.85)*(Arr_M*(1+0.5*Acuity_M))/Cap_Doc,1)+CEILING((0.85)*(Arr_E*(1+0.5*Acuity_E))/Cap_Doc,1)+CEILING((0.85)*(Arr_N*(1+0.5*Acuity_N))/Cap_Doc,1)),Avail_Doc)))*Cap_Doc+(MAX(0,((CEILING((0.85)*(Arr_M)/Cap_Nurse,1)+CEILING((0.85)*(Arr_E)/Cap_Nurse,1)+CEILING((0.85)*(Arr_N)/Cap_Nurse,1)))-Avail_Nurse-(OTCapPct)*MIN((CEILING((0.85)*(Arr_M)/Cap_Nurse,1)+CEILING((0.85)*(Arr_E)/Cap_Nurse,1)+CEILING((0.85)*(Arr_N)/Cap_Nurse,1)),Avail_Nurse)))*Cap_Nurse+(MAX(0,((CEILING((0.85)*(Arr_M)/Cap_Tech,1)+CEILING((0.85)*(Arr_E)/Cap_Tech,1)+CEILING((0.85)*(Arr_N)/Cap_Tech,1)))-Avail_Tech-(OTCapPct)*MIN((CEILING((0.85)*(Arr_M)/Cap_Tech,1)+CEILING((0.85)*(Arr_E)/Cap_Tech,1)+CEILING((0.85)*(Arr_N)/Cap_Tech,1)),Avail_Tech)))*Cap_Tech+(MAX(0,(0.85)*Arr_M-(BedsAdded+BedsCurrent)*ShiftHours/BedHr_M)+MAX(0,(0.85)*Arr_E-(BedsAdded+BedsCurrent)*ShiftHours/BedHr_E)+MAX(0,(0.85)*Arr_N-(BedsAdded+BedsCurrent)*ShiftHours/BedHr_N))+(MAX(0,(0.85)*Arr_M*Acuity_M-(ImgBase+(ImgExpOn)*ImgExpAdd))+MAX(0,(0.85)*Arr_E*Acuity_E-(ImgBase+(ImgExpOn)*ImgExpAdd))+MAX(0,(0.85)*Arr_N*Acuity_N-(ImgBase+(ImgExpOn)*ImgExpAdd)))+(MAX(0,(0.85)*Arr_M-(LabBase+(LabExpOn)*LabExpAdd))+MAX(0,(0.85)*Arr_E-(LabBase+(LabExpOn)*LabExpAdd))+MAX(0,(0.85)*Arr_N-(LabBase+(LabExpOn)*LabExpAdd))))/(Arr_M+Arr_E+Arr_N)</f>
        <v>0.97407407407407409</v>
      </c>
      <c r="D7" s="29">
        <f>(MAX(0,((CEILING((0.85)*(Arr_M*(1+0.5*Acuity_M))/Cap_Doc,1)+CEILING((0.85)*(Arr_E*(1+0.5*Acuity_E))/Cap_Doc,1)+CEILING((0.85)*(Arr_N*(1+0.5*Acuity_N))/Cap_Doc,1)))-Avail_Doc-(OTCapPct)*MIN((CEILING((0.85)*(Arr_M*(1+0.5*Acuity_M))/Cap_Doc,1)+CEILING((0.85)*(Arr_E*(1+0.5*Acuity_E))/Cap_Doc,1)+CEILING((0.85)*(Arr_N*(1+0.5*Acuity_N))/Cap_Doc,1)),Avail_Doc)))*Cap_Doc+(MAX(0,((CEILING((0.85)*(Arr_M)/Cap_Nurse,1)+CEILING((0.85)*(Arr_E)/Cap_Nurse,1)+CEILING((0.85)*(Arr_N)/Cap_Nurse,1)))-Avail_Nurse-(OTCapPct)*MIN((CEILING((0.85)*(Arr_M)/Cap_Nurse,1)+CEILING((0.85)*(Arr_E)/Cap_Nurse,1)+CEILING((0.85)*(Arr_N)/Cap_Nurse,1)),Avail_Nurse)))*Cap_Nurse+(MAX(0,((CEILING((0.85)*(Arr_M)/Cap_Tech,1)+CEILING((0.85)*(Arr_E)/Cap_Tech,1)+CEILING((0.85)*(Arr_N)/Cap_Tech,1)))-Avail_Tech-(OTCapPct)*MIN((CEILING((0.85)*(Arr_M)/Cap_Tech,1)+CEILING((0.85)*(Arr_E)/Cap_Tech,1)+CEILING((0.85)*(Arr_N)/Cap_Tech,1)),Avail_Tech)))*Cap_Tech+(MAX(0,(0.85)*Arr_M-(BedsAdded+BedsCurrent)*ShiftHours/BedHr_M)+MAX(0,(0.85)*Arr_E-(BedsAdded+BedsCurrent)*ShiftHours/BedHr_E)+MAX(0,(0.85)*Arr_N-(BedsAdded+BedsCurrent)*ShiftHours/BedHr_N))+(MAX(0,(0.85)*Arr_M*Acuity_M-(ImgBase+(ImgExpOn)*ImgExpAdd))+MAX(0,(0.85)*Arr_E*Acuity_E-(ImgBase+(ImgExpOn)*ImgExpAdd))+MAX(0,(0.85)*Arr_N*Acuity_N-(ImgBase+(ImgExpOn)*ImgExpAdd)))+(MAX(0,(0.85)*Arr_M-(LabBase+(LabExpOn)*LabExpAdd))+MAX(0,(0.85)*Arr_E-(LabBase+(LabExpOn)*LabExpAdd))+MAX(0,(0.85)*Arr_N-(LabBase+(LabExpOn)*LabExpAdd)))</f>
        <v>7</v>
      </c>
      <c r="E7" s="33">
        <f>B7-B11</f>
        <v>-147260</v>
      </c>
    </row>
    <row r="8" spans="1:5" x14ac:dyDescent="0.25">
      <c r="A8" s="31">
        <v>0.9</v>
      </c>
      <c r="B8" s="19">
        <f>((MIN((CEILING((0.9)*(Arr_M*(1+0.5*Acuity_M))/Cap_Doc,1)+CEILING((0.9)*(Arr_E*(1+0.5*Acuity_E))/Cap_Doc,1)+CEILING((0.9)*(Arr_N*(1+0.5*Acuity_N))/Cap_Doc,1)),Avail_Doc))*RegCost_Doc+(MIN(MAX((CEILING((0.9)*(Arr_M*(1+0.5*Acuity_M))/Cap_Doc,1)+CEILING((0.9)*(Arr_E*(1+0.5*Acuity_E))/Cap_Doc,1)+CEILING((0.9)*(Arr_N*(1+0.5*Acuity_N))/Cap_Doc,1))-Avail_Doc,0),(OTCapPct)*MIN((CEILING((0.9)*(Arr_M*(1+0.5*Acuity_M))/Cap_Doc,1)+CEILING((0.9)*(Arr_E*(1+0.5*Acuity_E))/Cap_Doc,1)+CEILING((0.9)*(Arr_N*(1+0.5*Acuity_N))/Cap_Doc,1)),Avail_Doc)))*OTCost_Doc+(MIN((CEILING((0.9)*(Arr_M)/Cap_Nurse,1)+CEILING((0.9)*(Arr_E)/Cap_Nurse,1)+CEILING((0.9)*(Arr_N)/Cap_Nurse,1)),Avail_Nurse))*RegCost_Nurse+(MIN(MAX((CEILING((0.9)*(Arr_M)/Cap_Nurse,1)+CEILING((0.9)*(Arr_E)/Cap_Nurse,1)+CEILING((0.9)*(Arr_N)/Cap_Nurse,1))-Avail_Nurse,0),(OTCapPct)*MIN((CEILING((0.9)*(Arr_M)/Cap_Nurse,1)+CEILING((0.9)*(Arr_E)/Cap_Nurse,1)+CEILING((0.9)*(Arr_N)/Cap_Nurse,1)),Avail_Nurse)))*OTCost_Nurse+(MIN((CEILING((0.9)*(Arr_M)/Cap_Tech,1)+CEILING((0.9)*(Arr_E)/Cap_Tech,1)+CEILING((0.9)*(Arr_N)/Cap_Tech,1)),Avail_Tech))*RegCost_Tech+(MIN(MAX((CEILING((0.9)*(Arr_M)/Cap_Tech,1)+CEILING((0.9)*(Arr_E)/Cap_Tech,1)+CEILING((0.9)*(Arr_N)/Cap_Tech,1))-Avail_Tech,0),(OTCapPct)*MIN((CEILING((0.9)*(Arr_M)/Cap_Tech,1)+CEILING((0.9)*(Arr_E)/Cap_Tech,1)+CEILING((0.9)*(Arr_N)/Cap_Tech,1)),Avail_Tech)))*OTCost_Tech)+((BedsAdded)*BedCostPerBed+(ImgExpOn)*ImgExpCost+(LabExpOn)*LabExpCost)+(((MAX(0,((CEILING((0.9)*(Arr_M*(1+0.5*Acuity_M))/Cap_Doc,1)+CEILING((0.9)*(Arr_E*(1+0.5*Acuity_E))/Cap_Doc,1)+CEILING((0.9)*(Arr_N*(1+0.5*Acuity_N))/Cap_Doc,1)))-Avail_Doc-(OTCapPct)*MIN((CEILING((0.9)*(Arr_M*(1+0.5*Acuity_M))/Cap_Doc,1)+CEILING((0.9)*(Arr_E*(1+0.5*Acuity_E))/Cap_Doc,1)+CEILING((0.9)*(Arr_N*(1+0.5*Acuity_N))/Cap_Doc,1)),Avail_Doc)))*Cap_Doc+(MAX(0,((CEILING((0.9)*(Arr_M)/Cap_Nurse,1)+CEILING((0.9)*(Arr_E)/Cap_Nurse,1)+CEILING((0.9)*(Arr_N)/Cap_Nurse,1)))-Avail_Nurse-(OTCapPct)*MIN((CEILING((0.9)*(Arr_M)/Cap_Nurse,1)+CEILING((0.9)*(Arr_E)/Cap_Nurse,1)+CEILING((0.9)*(Arr_N)/Cap_Nurse,1)),Avail_Nurse)))*Cap_Nurse+(MAX(0,((CEILING((0.9)*(Arr_M)/Cap_Tech,1)+CEILING((0.9)*(Arr_E)/Cap_Tech,1)+CEILING((0.9)*(Arr_N)/Cap_Tech,1)))-Avail_Tech-(OTCapPct)*MIN((CEILING((0.9)*(Arr_M)/Cap_Tech,1)+CEILING((0.9)*(Arr_E)/Cap_Tech,1)+CEILING((0.9)*(Arr_N)/Cap_Tech,1)),Avail_Tech)))*Cap_Tech+(MAX(0,(0.9)*Arr_M-(BedsAdded+BedsCurrent)*ShiftHours/BedHr_M)+MAX(0,(0.9)*Arr_E-(BedsAdded+BedsCurrent)*ShiftHours/BedHr_E)+MAX(0,(0.9)*Arr_N-(BedsAdded+BedsCurrent)*ShiftHours/BedHr_N))+(MAX(0,(0.9)*Arr_M*Acuity_M-(ImgBase+(ImgExpOn)*ImgExpAdd))+MAX(0,(0.9)*Arr_E*Acuity_E-(ImgBase+(ImgExpOn)*ImgExpAdd))+MAX(0,(0.9)*Arr_N*Acuity_N-(ImgBase+(ImgExpOn)*ImgExpAdd)))+(MAX(0,(0.9)*Arr_M-(LabBase+(LabExpOn)*LabExpAdd))+MAX(0,(0.9)*Arr_E-(LabBase+(LabExpOn)*LabExpAdd))+MAX(0,(0.9)*Arr_N-(LabBase+(LabExpOn)*LabExpAdd))))*(PenUncovered*(1-DivertShare)+PenDiverted*DivertShare))</f>
        <v>361650</v>
      </c>
      <c r="C8" s="32">
        <f>1-((MAX(0,((CEILING((0.9)*(Arr_M*(1+0.5*Acuity_M))/Cap_Doc,1)+CEILING((0.9)*(Arr_E*(1+0.5*Acuity_E))/Cap_Doc,1)+CEILING((0.9)*(Arr_N*(1+0.5*Acuity_N))/Cap_Doc,1)))-Avail_Doc-(OTCapPct)*MIN((CEILING((0.9)*(Arr_M*(1+0.5*Acuity_M))/Cap_Doc,1)+CEILING((0.9)*(Arr_E*(1+0.5*Acuity_E))/Cap_Doc,1)+CEILING((0.9)*(Arr_N*(1+0.5*Acuity_N))/Cap_Doc,1)),Avail_Doc)))*Cap_Doc+(MAX(0,((CEILING((0.9)*(Arr_M)/Cap_Nurse,1)+CEILING((0.9)*(Arr_E)/Cap_Nurse,1)+CEILING((0.9)*(Arr_N)/Cap_Nurse,1)))-Avail_Nurse-(OTCapPct)*MIN((CEILING((0.9)*(Arr_M)/Cap_Nurse,1)+CEILING((0.9)*(Arr_E)/Cap_Nurse,1)+CEILING((0.9)*(Arr_N)/Cap_Nurse,1)),Avail_Nurse)))*Cap_Nurse+(MAX(0,((CEILING((0.9)*(Arr_M)/Cap_Tech,1)+CEILING((0.9)*(Arr_E)/Cap_Tech,1)+CEILING((0.9)*(Arr_N)/Cap_Tech,1)))-Avail_Tech-(OTCapPct)*MIN((CEILING((0.9)*(Arr_M)/Cap_Tech,1)+CEILING((0.9)*(Arr_E)/Cap_Tech,1)+CEILING((0.9)*(Arr_N)/Cap_Tech,1)),Avail_Tech)))*Cap_Tech+(MAX(0,(0.9)*Arr_M-(BedsAdded+BedsCurrent)*ShiftHours/BedHr_M)+MAX(0,(0.9)*Arr_E-(BedsAdded+BedsCurrent)*ShiftHours/BedHr_E)+MAX(0,(0.9)*Arr_N-(BedsAdded+BedsCurrent)*ShiftHours/BedHr_N))+(MAX(0,(0.9)*Arr_M*Acuity_M-(ImgBase+(ImgExpOn)*ImgExpAdd))+MAX(0,(0.9)*Arr_E*Acuity_E-(ImgBase+(ImgExpOn)*ImgExpAdd))+MAX(0,(0.9)*Arr_N*Acuity_N-(ImgBase+(ImgExpOn)*ImgExpAdd)))+(MAX(0,(0.9)*Arr_M-(LabBase+(LabExpOn)*LabExpAdd))+MAX(0,(0.9)*Arr_E-(LabBase+(LabExpOn)*LabExpAdd))+MAX(0,(0.9)*Arr_N-(LabBase+(LabExpOn)*LabExpAdd))))/(Arr_M+Arr_E+Arr_N)</f>
        <v>0.95185185185185184</v>
      </c>
      <c r="D8" s="29">
        <f>(MAX(0,((CEILING((0.9)*(Arr_M*(1+0.5*Acuity_M))/Cap_Doc,1)+CEILING((0.9)*(Arr_E*(1+0.5*Acuity_E))/Cap_Doc,1)+CEILING((0.9)*(Arr_N*(1+0.5*Acuity_N))/Cap_Doc,1)))-Avail_Doc-(OTCapPct)*MIN((CEILING((0.9)*(Arr_M*(1+0.5*Acuity_M))/Cap_Doc,1)+CEILING((0.9)*(Arr_E*(1+0.5*Acuity_E))/Cap_Doc,1)+CEILING((0.9)*(Arr_N*(1+0.5*Acuity_N))/Cap_Doc,1)),Avail_Doc)))*Cap_Doc+(MAX(0,((CEILING((0.9)*(Arr_M)/Cap_Nurse,1)+CEILING((0.9)*(Arr_E)/Cap_Nurse,1)+CEILING((0.9)*(Arr_N)/Cap_Nurse,1)))-Avail_Nurse-(OTCapPct)*MIN((CEILING((0.9)*(Arr_M)/Cap_Nurse,1)+CEILING((0.9)*(Arr_E)/Cap_Nurse,1)+CEILING((0.9)*(Arr_N)/Cap_Nurse,1)),Avail_Nurse)))*Cap_Nurse+(MAX(0,((CEILING((0.9)*(Arr_M)/Cap_Tech,1)+CEILING((0.9)*(Arr_E)/Cap_Tech,1)+CEILING((0.9)*(Arr_N)/Cap_Tech,1)))-Avail_Tech-(OTCapPct)*MIN((CEILING((0.9)*(Arr_M)/Cap_Tech,1)+CEILING((0.9)*(Arr_E)/Cap_Tech,1)+CEILING((0.9)*(Arr_N)/Cap_Tech,1)),Avail_Tech)))*Cap_Tech+(MAX(0,(0.9)*Arr_M-(BedsAdded+BedsCurrent)*ShiftHours/BedHr_M)+MAX(0,(0.9)*Arr_E-(BedsAdded+BedsCurrent)*ShiftHours/BedHr_E)+MAX(0,(0.9)*Arr_N-(BedsAdded+BedsCurrent)*ShiftHours/BedHr_N))+(MAX(0,(0.9)*Arr_M*Acuity_M-(ImgBase+(ImgExpOn)*ImgExpAdd))+MAX(0,(0.9)*Arr_E*Acuity_E-(ImgBase+(ImgExpOn)*ImgExpAdd))+MAX(0,(0.9)*Arr_N*Acuity_N-(ImgBase+(ImgExpOn)*ImgExpAdd)))+(MAX(0,(0.9)*Arr_M-(LabBase+(LabExpOn)*LabExpAdd))+MAX(0,(0.9)*Arr_E-(LabBase+(LabExpOn)*LabExpAdd))+MAX(0,(0.9)*Arr_N-(LabBase+(LabExpOn)*LabExpAdd)))</f>
        <v>13</v>
      </c>
      <c r="E8" s="33">
        <f>B8-B11</f>
        <v>-104960</v>
      </c>
    </row>
    <row r="9" spans="1:5" x14ac:dyDescent="0.25">
      <c r="A9" s="31">
        <v>0.95</v>
      </c>
      <c r="B9" s="19">
        <f>((MIN((CEILING((0.95)*(Arr_M*(1+0.5*Acuity_M))/Cap_Doc,1)+CEILING((0.95)*(Arr_E*(1+0.5*Acuity_E))/Cap_Doc,1)+CEILING((0.95)*(Arr_N*(1+0.5*Acuity_N))/Cap_Doc,1)),Avail_Doc))*RegCost_Doc+(MIN(MAX((CEILING((0.95)*(Arr_M*(1+0.5*Acuity_M))/Cap_Doc,1)+CEILING((0.95)*(Arr_E*(1+0.5*Acuity_E))/Cap_Doc,1)+CEILING((0.95)*(Arr_N*(1+0.5*Acuity_N))/Cap_Doc,1))-Avail_Doc,0),(OTCapPct)*MIN((CEILING((0.95)*(Arr_M*(1+0.5*Acuity_M))/Cap_Doc,1)+CEILING((0.95)*(Arr_E*(1+0.5*Acuity_E))/Cap_Doc,1)+CEILING((0.95)*(Arr_N*(1+0.5*Acuity_N))/Cap_Doc,1)),Avail_Doc)))*OTCost_Doc+(MIN((CEILING((0.95)*(Arr_M)/Cap_Nurse,1)+CEILING((0.95)*(Arr_E)/Cap_Nurse,1)+CEILING((0.95)*(Arr_N)/Cap_Nurse,1)),Avail_Nurse))*RegCost_Nurse+(MIN(MAX((CEILING((0.95)*(Arr_M)/Cap_Nurse,1)+CEILING((0.95)*(Arr_E)/Cap_Nurse,1)+CEILING((0.95)*(Arr_N)/Cap_Nurse,1))-Avail_Nurse,0),(OTCapPct)*MIN((CEILING((0.95)*(Arr_M)/Cap_Nurse,1)+CEILING((0.95)*(Arr_E)/Cap_Nurse,1)+CEILING((0.95)*(Arr_N)/Cap_Nurse,1)),Avail_Nurse)))*OTCost_Nurse+(MIN((CEILING((0.95)*(Arr_M)/Cap_Tech,1)+CEILING((0.95)*(Arr_E)/Cap_Tech,1)+CEILING((0.95)*(Arr_N)/Cap_Tech,1)),Avail_Tech))*RegCost_Tech+(MIN(MAX((CEILING((0.95)*(Arr_M)/Cap_Tech,1)+CEILING((0.95)*(Arr_E)/Cap_Tech,1)+CEILING((0.95)*(Arr_N)/Cap_Tech,1))-Avail_Tech,0),(OTCapPct)*MIN((CEILING((0.95)*(Arr_M)/Cap_Tech,1)+CEILING((0.95)*(Arr_E)/Cap_Tech,1)+CEILING((0.95)*(Arr_N)/Cap_Tech,1)),Avail_Tech)))*OTCost_Tech)+((BedsAdded)*BedCostPerBed+(ImgExpOn)*ImgExpCost+(LabExpOn)*LabExpCost)+(((MAX(0,((CEILING((0.95)*(Arr_M*(1+0.5*Acuity_M))/Cap_Doc,1)+CEILING((0.95)*(Arr_E*(1+0.5*Acuity_E))/Cap_Doc,1)+CEILING((0.95)*(Arr_N*(1+0.5*Acuity_N))/Cap_Doc,1)))-Avail_Doc-(OTCapPct)*MIN((CEILING((0.95)*(Arr_M*(1+0.5*Acuity_M))/Cap_Doc,1)+CEILING((0.95)*(Arr_E*(1+0.5*Acuity_E))/Cap_Doc,1)+CEILING((0.95)*(Arr_N*(1+0.5*Acuity_N))/Cap_Doc,1)),Avail_Doc)))*Cap_Doc+(MAX(0,((CEILING((0.95)*(Arr_M)/Cap_Nurse,1)+CEILING((0.95)*(Arr_E)/Cap_Nurse,1)+CEILING((0.95)*(Arr_N)/Cap_Nurse,1)))-Avail_Nurse-(OTCapPct)*MIN((CEILING((0.95)*(Arr_M)/Cap_Nurse,1)+CEILING((0.95)*(Arr_E)/Cap_Nurse,1)+CEILING((0.95)*(Arr_N)/Cap_Nurse,1)),Avail_Nurse)))*Cap_Nurse+(MAX(0,((CEILING((0.95)*(Arr_M)/Cap_Tech,1)+CEILING((0.95)*(Arr_E)/Cap_Tech,1)+CEILING((0.95)*(Arr_N)/Cap_Tech,1)))-Avail_Tech-(OTCapPct)*MIN((CEILING((0.95)*(Arr_M)/Cap_Tech,1)+CEILING((0.95)*(Arr_E)/Cap_Tech,1)+CEILING((0.95)*(Arr_N)/Cap_Tech,1)),Avail_Tech)))*Cap_Tech+(MAX(0,(0.95)*Arr_M-(BedsAdded+BedsCurrent)*ShiftHours/BedHr_M)+MAX(0,(0.95)*Arr_E-(BedsAdded+BedsCurrent)*ShiftHours/BedHr_E)+MAX(0,(0.95)*Arr_N-(BedsAdded+BedsCurrent)*ShiftHours/BedHr_N))+(MAX(0,(0.95)*Arr_M*Acuity_M-(ImgBase+(ImgExpOn)*ImgExpAdd))+MAX(0,(0.95)*Arr_E*Acuity_E-(ImgBase+(ImgExpOn)*ImgExpAdd))+MAX(0,(0.95)*Arr_N*Acuity_N-(ImgBase+(ImgExpOn)*ImgExpAdd)))+(MAX(0,(0.95)*Arr_M-(LabBase+(LabExpOn)*LabExpAdd))+MAX(0,(0.95)*Arr_E-(LabBase+(LabExpOn)*LabExpAdd))+MAX(0,(0.95)*Arr_N-(LabBase+(LabExpOn)*LabExpAdd))))*(PenUncovered*(1-DivertShare)+PenDiverted*DivertShare))</f>
        <v>466610</v>
      </c>
      <c r="C9" s="32">
        <f>1-((MAX(0,((CEILING((0.95)*(Arr_M*(1+0.5*Acuity_M))/Cap_Doc,1)+CEILING((0.95)*(Arr_E*(1+0.5*Acuity_E))/Cap_Doc,1)+CEILING((0.95)*(Arr_N*(1+0.5*Acuity_N))/Cap_Doc,1)))-Avail_Doc-(OTCapPct)*MIN((CEILING((0.95)*(Arr_M*(1+0.5*Acuity_M))/Cap_Doc,1)+CEILING((0.95)*(Arr_E*(1+0.5*Acuity_E))/Cap_Doc,1)+CEILING((0.95)*(Arr_N*(1+0.5*Acuity_N))/Cap_Doc,1)),Avail_Doc)))*Cap_Doc+(MAX(0,((CEILING((0.95)*(Arr_M)/Cap_Nurse,1)+CEILING((0.95)*(Arr_E)/Cap_Nurse,1)+CEILING((0.95)*(Arr_N)/Cap_Nurse,1)))-Avail_Nurse-(OTCapPct)*MIN((CEILING((0.95)*(Arr_M)/Cap_Nurse,1)+CEILING((0.95)*(Arr_E)/Cap_Nurse,1)+CEILING((0.95)*(Arr_N)/Cap_Nurse,1)),Avail_Nurse)))*Cap_Nurse+(MAX(0,((CEILING((0.95)*(Arr_M)/Cap_Tech,1)+CEILING((0.95)*(Arr_E)/Cap_Tech,1)+CEILING((0.95)*(Arr_N)/Cap_Tech,1)))-Avail_Tech-(OTCapPct)*MIN((CEILING((0.95)*(Arr_M)/Cap_Tech,1)+CEILING((0.95)*(Arr_E)/Cap_Tech,1)+CEILING((0.95)*(Arr_N)/Cap_Tech,1)),Avail_Tech)))*Cap_Tech+(MAX(0,(0.95)*Arr_M-(BedsAdded+BedsCurrent)*ShiftHours/BedHr_M)+MAX(0,(0.95)*Arr_E-(BedsAdded+BedsCurrent)*ShiftHours/BedHr_E)+MAX(0,(0.95)*Arr_N-(BedsAdded+BedsCurrent)*ShiftHours/BedHr_N))+(MAX(0,(0.95)*Arr_M*Acuity_M-(ImgBase+(ImgExpOn)*ImgExpAdd))+MAX(0,(0.95)*Arr_E*Acuity_E-(ImgBase+(ImgExpOn)*ImgExpAdd))+MAX(0,(0.95)*Arr_N*Acuity_N-(ImgBase+(ImgExpOn)*ImgExpAdd)))+(MAX(0,(0.95)*Arr_M-(LabBase+(LabExpOn)*LabExpAdd))+MAX(0,(0.95)*Arr_E-(LabBase+(LabExpOn)*LabExpAdd))+MAX(0,(0.95)*Arr_N-(LabBase+(LabExpOn)*LabExpAdd))))/(Arr_M+Arr_E+Arr_N)</f>
        <v>0.91037037037037039</v>
      </c>
      <c r="D9" s="29">
        <f>(MAX(0,((CEILING((0.95)*(Arr_M*(1+0.5*Acuity_M))/Cap_Doc,1)+CEILING((0.95)*(Arr_E*(1+0.5*Acuity_E))/Cap_Doc,1)+CEILING((0.95)*(Arr_N*(1+0.5*Acuity_N))/Cap_Doc,1)))-Avail_Doc-(OTCapPct)*MIN((CEILING((0.95)*(Arr_M*(1+0.5*Acuity_M))/Cap_Doc,1)+CEILING((0.95)*(Arr_E*(1+0.5*Acuity_E))/Cap_Doc,1)+CEILING((0.95)*(Arr_N*(1+0.5*Acuity_N))/Cap_Doc,1)),Avail_Doc)))*Cap_Doc+(MAX(0,((CEILING((0.95)*(Arr_M)/Cap_Nurse,1)+CEILING((0.95)*(Arr_E)/Cap_Nurse,1)+CEILING((0.95)*(Arr_N)/Cap_Nurse,1)))-Avail_Nurse-(OTCapPct)*MIN((CEILING((0.95)*(Arr_M)/Cap_Nurse,1)+CEILING((0.95)*(Arr_E)/Cap_Nurse,1)+CEILING((0.95)*(Arr_N)/Cap_Nurse,1)),Avail_Nurse)))*Cap_Nurse+(MAX(0,((CEILING((0.95)*(Arr_M)/Cap_Tech,1)+CEILING((0.95)*(Arr_E)/Cap_Tech,1)+CEILING((0.95)*(Arr_N)/Cap_Tech,1)))-Avail_Tech-(OTCapPct)*MIN((CEILING((0.95)*(Arr_M)/Cap_Tech,1)+CEILING((0.95)*(Arr_E)/Cap_Tech,1)+CEILING((0.95)*(Arr_N)/Cap_Tech,1)),Avail_Tech)))*Cap_Tech+(MAX(0,(0.95)*Arr_M-(BedsAdded+BedsCurrent)*ShiftHours/BedHr_M)+MAX(0,(0.95)*Arr_E-(BedsAdded+BedsCurrent)*ShiftHours/BedHr_E)+MAX(0,(0.95)*Arr_N-(BedsAdded+BedsCurrent)*ShiftHours/BedHr_N))+(MAX(0,(0.95)*Arr_M*Acuity_M-(ImgBase+(ImgExpOn)*ImgExpAdd))+MAX(0,(0.95)*Arr_E*Acuity_E-(ImgBase+(ImgExpOn)*ImgExpAdd))+MAX(0,(0.95)*Arr_N*Acuity_N-(ImgBase+(ImgExpOn)*ImgExpAdd)))+(MAX(0,(0.95)*Arr_M-(LabBase+(LabExpOn)*LabExpAdd))+MAX(0,(0.95)*Arr_E-(LabBase+(LabExpOn)*LabExpAdd))+MAX(0,(0.95)*Arr_N-(LabBase+(LabExpOn)*LabExpAdd)))</f>
        <v>24.200000000000003</v>
      </c>
      <c r="E9" s="33">
        <f>B9-B11</f>
        <v>0</v>
      </c>
    </row>
    <row r="10" spans="1:5" x14ac:dyDescent="0.25">
      <c r="A10" s="31">
        <v>0.99</v>
      </c>
      <c r="B10" s="19">
        <f>((MIN((CEILING((0.99)*(Arr_M*(1+0.5*Acuity_M))/Cap_Doc,1)+CEILING((0.99)*(Arr_E*(1+0.5*Acuity_E))/Cap_Doc,1)+CEILING((0.99)*(Arr_N*(1+0.5*Acuity_N))/Cap_Doc,1)),Avail_Doc))*RegCost_Doc+(MIN(MAX((CEILING((0.99)*(Arr_M*(1+0.5*Acuity_M))/Cap_Doc,1)+CEILING((0.99)*(Arr_E*(1+0.5*Acuity_E))/Cap_Doc,1)+CEILING((0.99)*(Arr_N*(1+0.5*Acuity_N))/Cap_Doc,1))-Avail_Doc,0),(OTCapPct)*MIN((CEILING((0.99)*(Arr_M*(1+0.5*Acuity_M))/Cap_Doc,1)+CEILING((0.99)*(Arr_E*(1+0.5*Acuity_E))/Cap_Doc,1)+CEILING((0.99)*(Arr_N*(1+0.5*Acuity_N))/Cap_Doc,1)),Avail_Doc)))*OTCost_Doc+(MIN((CEILING((0.99)*(Arr_M)/Cap_Nurse,1)+CEILING((0.99)*(Arr_E)/Cap_Nurse,1)+CEILING((0.99)*(Arr_N)/Cap_Nurse,1)),Avail_Nurse))*RegCost_Nurse+(MIN(MAX((CEILING((0.99)*(Arr_M)/Cap_Nurse,1)+CEILING((0.99)*(Arr_E)/Cap_Nurse,1)+CEILING((0.99)*(Arr_N)/Cap_Nurse,1))-Avail_Nurse,0),(OTCapPct)*MIN((CEILING((0.99)*(Arr_M)/Cap_Nurse,1)+CEILING((0.99)*(Arr_E)/Cap_Nurse,1)+CEILING((0.99)*(Arr_N)/Cap_Nurse,1)),Avail_Nurse)))*OTCost_Nurse+(MIN((CEILING((0.99)*(Arr_M)/Cap_Tech,1)+CEILING((0.99)*(Arr_E)/Cap_Tech,1)+CEILING((0.99)*(Arr_N)/Cap_Tech,1)),Avail_Tech))*RegCost_Tech+(MIN(MAX((CEILING((0.99)*(Arr_M)/Cap_Tech,1)+CEILING((0.99)*(Arr_E)/Cap_Tech,1)+CEILING((0.99)*(Arr_N)/Cap_Tech,1))-Avail_Tech,0),(OTCapPct)*MIN((CEILING((0.99)*(Arr_M)/Cap_Tech,1)+CEILING((0.99)*(Arr_E)/Cap_Tech,1)+CEILING((0.99)*(Arr_N)/Cap_Tech,1)),Avail_Tech)))*OTCost_Tech)+((BedsAdded)*BedCostPerBed+(ImgExpOn)*ImgExpCost+(LabExpOn)*LabExpCost)+(((MAX(0,((CEILING((0.99)*(Arr_M*(1+0.5*Acuity_M))/Cap_Doc,1)+CEILING((0.99)*(Arr_E*(1+0.5*Acuity_E))/Cap_Doc,1)+CEILING((0.99)*(Arr_N*(1+0.5*Acuity_N))/Cap_Doc,1)))-Avail_Doc-(OTCapPct)*MIN((CEILING((0.99)*(Arr_M*(1+0.5*Acuity_M))/Cap_Doc,1)+CEILING((0.99)*(Arr_E*(1+0.5*Acuity_E))/Cap_Doc,1)+CEILING((0.99)*(Arr_N*(1+0.5*Acuity_N))/Cap_Doc,1)),Avail_Doc)))*Cap_Doc+(MAX(0,((CEILING((0.99)*(Arr_M)/Cap_Nurse,1)+CEILING((0.99)*(Arr_E)/Cap_Nurse,1)+CEILING((0.99)*(Arr_N)/Cap_Nurse,1)))-Avail_Nurse-(OTCapPct)*MIN((CEILING((0.99)*(Arr_M)/Cap_Nurse,1)+CEILING((0.99)*(Arr_E)/Cap_Nurse,1)+CEILING((0.99)*(Arr_N)/Cap_Nurse,1)),Avail_Nurse)))*Cap_Nurse+(MAX(0,((CEILING((0.99)*(Arr_M)/Cap_Tech,1)+CEILING((0.99)*(Arr_E)/Cap_Tech,1)+CEILING((0.99)*(Arr_N)/Cap_Tech,1)))-Avail_Tech-(OTCapPct)*MIN((CEILING((0.99)*(Arr_M)/Cap_Tech,1)+CEILING((0.99)*(Arr_E)/Cap_Tech,1)+CEILING((0.99)*(Arr_N)/Cap_Tech,1)),Avail_Tech)))*Cap_Tech+(MAX(0,(0.99)*Arr_M-(BedsAdded+BedsCurrent)*ShiftHours/BedHr_M)+MAX(0,(0.99)*Arr_E-(BedsAdded+BedsCurrent)*ShiftHours/BedHr_E)+MAX(0,(0.99)*Arr_N-(BedsAdded+BedsCurrent)*ShiftHours/BedHr_N))+(MAX(0,(0.99)*Arr_M*Acuity_M-(ImgBase+(ImgExpOn)*ImgExpAdd))+MAX(0,(0.99)*Arr_E*Acuity_E-(ImgBase+(ImgExpOn)*ImgExpAdd))+MAX(0,(0.99)*Arr_N*Acuity_N-(ImgBase+(ImgExpOn)*ImgExpAdd)))+(MAX(0,(0.99)*Arr_M-(LabBase+(LabExpOn)*LabExpAdd))+MAX(0,(0.99)*Arr_E-(LabBase+(LabExpOn)*LabExpAdd))+MAX(0,(0.99)*Arr_N-(LabBase+(LabExpOn)*LabExpAdd))))*(PenUncovered*(1-DivertShare)+PenDiverted*DivertShare))</f>
        <v>565790</v>
      </c>
      <c r="C10" s="32">
        <f>1-((MAX(0,((CEILING((0.99)*(Arr_M*(1+0.5*Acuity_M))/Cap_Doc,1)+CEILING((0.99)*(Arr_E*(1+0.5*Acuity_E))/Cap_Doc,1)+CEILING((0.99)*(Arr_N*(1+0.5*Acuity_N))/Cap_Doc,1)))-Avail_Doc-(OTCapPct)*MIN((CEILING((0.99)*(Arr_M*(1+0.5*Acuity_M))/Cap_Doc,1)+CEILING((0.99)*(Arr_E*(1+0.5*Acuity_E))/Cap_Doc,1)+CEILING((0.99)*(Arr_N*(1+0.5*Acuity_N))/Cap_Doc,1)),Avail_Doc)))*Cap_Doc+(MAX(0,((CEILING((0.99)*(Arr_M)/Cap_Nurse,1)+CEILING((0.99)*(Arr_E)/Cap_Nurse,1)+CEILING((0.99)*(Arr_N)/Cap_Nurse,1)))-Avail_Nurse-(OTCapPct)*MIN((CEILING((0.99)*(Arr_M)/Cap_Nurse,1)+CEILING((0.99)*(Arr_E)/Cap_Nurse,1)+CEILING((0.99)*(Arr_N)/Cap_Nurse,1)),Avail_Nurse)))*Cap_Nurse+(MAX(0,((CEILING((0.99)*(Arr_M)/Cap_Tech,1)+CEILING((0.99)*(Arr_E)/Cap_Tech,1)+CEILING((0.99)*(Arr_N)/Cap_Tech,1)))-Avail_Tech-(OTCapPct)*MIN((CEILING((0.99)*(Arr_M)/Cap_Tech,1)+CEILING((0.99)*(Arr_E)/Cap_Tech,1)+CEILING((0.99)*(Arr_N)/Cap_Tech,1)),Avail_Tech)))*Cap_Tech+(MAX(0,(0.99)*Arr_M-(BedsAdded+BedsCurrent)*ShiftHours/BedHr_M)+MAX(0,(0.99)*Arr_E-(BedsAdded+BedsCurrent)*ShiftHours/BedHr_E)+MAX(0,(0.99)*Arr_N-(BedsAdded+BedsCurrent)*ShiftHours/BedHr_N))+(MAX(0,(0.99)*Arr_M*Acuity_M-(ImgBase+(ImgExpOn)*ImgExpAdd))+MAX(0,(0.99)*Arr_E*Acuity_E-(ImgBase+(ImgExpOn)*ImgExpAdd))+MAX(0,(0.99)*Arr_N*Acuity_N-(ImgBase+(ImgExpOn)*ImgExpAdd)))+(MAX(0,(0.99)*Arr_M-(LabBase+(LabExpOn)*LabExpAdd))+MAX(0,(0.99)*Arr_E-(LabBase+(LabExpOn)*LabExpAdd))+MAX(0,(0.99)*Arr_N-(LabBase+(LabExpOn)*LabExpAdd))))/(Arr_M+Arr_E+Arr_N)</f>
        <v>0.87481481481481482</v>
      </c>
      <c r="D10" s="29">
        <f>(MAX(0,((CEILING((0.99)*(Arr_M*(1+0.5*Acuity_M))/Cap_Doc,1)+CEILING((0.99)*(Arr_E*(1+0.5*Acuity_E))/Cap_Doc,1)+CEILING((0.99)*(Arr_N*(1+0.5*Acuity_N))/Cap_Doc,1)))-Avail_Doc-(OTCapPct)*MIN((CEILING((0.99)*(Arr_M*(1+0.5*Acuity_M))/Cap_Doc,1)+CEILING((0.99)*(Arr_E*(1+0.5*Acuity_E))/Cap_Doc,1)+CEILING((0.99)*(Arr_N*(1+0.5*Acuity_N))/Cap_Doc,1)),Avail_Doc)))*Cap_Doc+(MAX(0,((CEILING((0.99)*(Arr_M)/Cap_Nurse,1)+CEILING((0.99)*(Arr_E)/Cap_Nurse,1)+CEILING((0.99)*(Arr_N)/Cap_Nurse,1)))-Avail_Nurse-(OTCapPct)*MIN((CEILING((0.99)*(Arr_M)/Cap_Nurse,1)+CEILING((0.99)*(Arr_E)/Cap_Nurse,1)+CEILING((0.99)*(Arr_N)/Cap_Nurse,1)),Avail_Nurse)))*Cap_Nurse+(MAX(0,((CEILING((0.99)*(Arr_M)/Cap_Tech,1)+CEILING((0.99)*(Arr_E)/Cap_Tech,1)+CEILING((0.99)*(Arr_N)/Cap_Tech,1)))-Avail_Tech-(OTCapPct)*MIN((CEILING((0.99)*(Arr_M)/Cap_Tech,1)+CEILING((0.99)*(Arr_E)/Cap_Tech,1)+CEILING((0.99)*(Arr_N)/Cap_Tech,1)),Avail_Tech)))*Cap_Tech+(MAX(0,(0.99)*Arr_M-(BedsAdded+BedsCurrent)*ShiftHours/BedHr_M)+MAX(0,(0.99)*Arr_E-(BedsAdded+BedsCurrent)*ShiftHours/BedHr_E)+MAX(0,(0.99)*Arr_N-(BedsAdded+BedsCurrent)*ShiftHours/BedHr_N))+(MAX(0,(0.99)*Arr_M*Acuity_M-(ImgBase+(ImgExpOn)*ImgExpAdd))+MAX(0,(0.99)*Arr_E*Acuity_E-(ImgBase+(ImgExpOn)*ImgExpAdd))+MAX(0,(0.99)*Arr_N*Acuity_N-(ImgBase+(ImgExpOn)*ImgExpAdd)))+(MAX(0,(0.99)*Arr_M-(LabBase+(LabExpOn)*LabExpAdd))+MAX(0,(0.99)*Arr_E-(LabBase+(LabExpOn)*LabExpAdd))+MAX(0,(0.99)*Arr_N-(LabBase+(LabExpOn)*LabExpAdd)))</f>
        <v>33.799999999999997</v>
      </c>
      <c r="E10" s="33">
        <f>B10-B11</f>
        <v>99180</v>
      </c>
    </row>
    <row r="11" spans="1:5" x14ac:dyDescent="0.25">
      <c r="A11" s="34" t="s">
        <v>173</v>
      </c>
      <c r="B11" s="35">
        <f>((MIN((CEILING((ServiceTarget)*(Arr_M*(1+0.5*Acuity_M))/Cap_Doc,1)+CEILING((ServiceTarget)*(Arr_E*(1+0.5*Acuity_E))/Cap_Doc,1)+CEILING((ServiceTarget)*(Arr_N*(1+0.5*Acuity_N))/Cap_Doc,1)),Avail_Doc))*RegCost_Doc+(MIN(MAX((CEILING((ServiceTarget)*(Arr_M*(1+0.5*Acuity_M))/Cap_Doc,1)+CEILING((ServiceTarget)*(Arr_E*(1+0.5*Acuity_E))/Cap_Doc,1)+CEILING((ServiceTarget)*(Arr_N*(1+0.5*Acuity_N))/Cap_Doc,1))-Avail_Doc,0),(OTCapPct)*MIN((CEILING((ServiceTarget)*(Arr_M*(1+0.5*Acuity_M))/Cap_Doc,1)+CEILING((ServiceTarget)*(Arr_E*(1+0.5*Acuity_E))/Cap_Doc,1)+CEILING((ServiceTarget)*(Arr_N*(1+0.5*Acuity_N))/Cap_Doc,1)),Avail_Doc)))*OTCost_Doc+(MIN((CEILING((ServiceTarget)*(Arr_M)/Cap_Nurse,1)+CEILING((ServiceTarget)*(Arr_E)/Cap_Nurse,1)+CEILING((ServiceTarget)*(Arr_N)/Cap_Nurse,1)),Avail_Nurse))*RegCost_Nurse+(MIN(MAX((CEILING((ServiceTarget)*(Arr_M)/Cap_Nurse,1)+CEILING((ServiceTarget)*(Arr_E)/Cap_Nurse,1)+CEILING((ServiceTarget)*(Arr_N)/Cap_Nurse,1))-Avail_Nurse,0),(OTCapPct)*MIN((CEILING((ServiceTarget)*(Arr_M)/Cap_Nurse,1)+CEILING((ServiceTarget)*(Arr_E)/Cap_Nurse,1)+CEILING((ServiceTarget)*(Arr_N)/Cap_Nurse,1)),Avail_Nurse)))*OTCost_Nurse+(MIN((CEILING((ServiceTarget)*(Arr_M)/Cap_Tech,1)+CEILING((ServiceTarget)*(Arr_E)/Cap_Tech,1)+CEILING((ServiceTarget)*(Arr_N)/Cap_Tech,1)),Avail_Tech))*RegCost_Tech+(MIN(MAX((CEILING((ServiceTarget)*(Arr_M)/Cap_Tech,1)+CEILING((ServiceTarget)*(Arr_E)/Cap_Tech,1)+CEILING((ServiceTarget)*(Arr_N)/Cap_Tech,1))-Avail_Tech,0),(OTCapPct)*MIN((CEILING((ServiceTarget)*(Arr_M)/Cap_Tech,1)+CEILING((ServiceTarget)*(Arr_E)/Cap_Tech,1)+CEILING((ServiceTarget)*(Arr_N)/Cap_Tech,1)),Avail_Tech)))*OTCost_Tech)+((BedsAdded)*BedCostPerBed+(ImgExpOn)*ImgExpCost+(LabExpOn)*LabExpCost)+(((MAX(0,((CEILING((ServiceTarget)*(Arr_M*(1+0.5*Acuity_M))/Cap_Doc,1)+CEILING((ServiceTarget)*(Arr_E*(1+0.5*Acuity_E))/Cap_Doc,1)+CEILING((ServiceTarget)*(Arr_N*(1+0.5*Acuity_N))/Cap_Doc,1)))-Avail_Doc-(OTCapPct)*MIN((CEILING((ServiceTarget)*(Arr_M*(1+0.5*Acuity_M))/Cap_Doc,1)+CEILING((ServiceTarget)*(Arr_E*(1+0.5*Acuity_E))/Cap_Doc,1)+CEILING((ServiceTarget)*(Arr_N*(1+0.5*Acuity_N))/Cap_Doc,1)),Avail_Doc)))*Cap_Doc+(MAX(0,((CEILING((ServiceTarget)*(Arr_M)/Cap_Nurse,1)+CEILING((ServiceTarget)*(Arr_E)/Cap_Nurse,1)+CEILING((ServiceTarget)*(Arr_N)/Cap_Nurse,1)))-Avail_Nurse-(OTCapPct)*MIN((CEILING((ServiceTarget)*(Arr_M)/Cap_Nurse,1)+CEILING((ServiceTarget)*(Arr_E)/Cap_Nurse,1)+CEILING((ServiceTarget)*(Arr_N)/Cap_Nurse,1)),Avail_Nurse)))*Cap_Nurse+(MAX(0,((CEILING((ServiceTarget)*(Arr_M)/Cap_Tech,1)+CEILING((ServiceTarget)*(Arr_E)/Cap_Tech,1)+CEILING((ServiceTarget)*(Arr_N)/Cap_Tech,1)))-Avail_Tech-(OTCapPct)*MIN((CEILING((ServiceTarget)*(Arr_M)/Cap_Tech,1)+CEILING((ServiceTarget)*(Arr_E)/Cap_Tech,1)+CEILING((ServiceTarget)*(Arr_N)/Cap_Tech,1)),Avail_Tech)))*Cap_Tech+(MAX(0,(ServiceTarget)*Arr_M-(BedsAdded+BedsCurrent)*ShiftHours/BedHr_M)+MAX(0,(ServiceTarget)*Arr_E-(BedsAdded+BedsCurrent)*ShiftHours/BedHr_E)+MAX(0,(ServiceTarget)*Arr_N-(BedsAdded+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PenUncovered*(1-DivertShare)+PenDiverted*DivertShare))</f>
        <v>466610</v>
      </c>
      <c r="C11" s="36">
        <f>1-((MAX(0,((CEILING((ServiceTarget)*(Arr_M*(1+0.5*Acuity_M))/Cap_Doc,1)+CEILING((ServiceTarget)*(Arr_E*(1+0.5*Acuity_E))/Cap_Doc,1)+CEILING((ServiceTarget)*(Arr_N*(1+0.5*Acuity_N))/Cap_Doc,1)))-Avail_Doc-(OTCapPct)*MIN((CEILING((ServiceTarget)*(Arr_M*(1+0.5*Acuity_M))/Cap_Doc,1)+CEILING((ServiceTarget)*(Arr_E*(1+0.5*Acuity_E))/Cap_Doc,1)+CEILING((ServiceTarget)*(Arr_N*(1+0.5*Acuity_N))/Cap_Doc,1)),Avail_Doc)))*Cap_Doc+(MAX(0,((CEILING((ServiceTarget)*(Arr_M)/Cap_Nurse,1)+CEILING((ServiceTarget)*(Arr_E)/Cap_Nurse,1)+CEILING((ServiceTarget)*(Arr_N)/Cap_Nurse,1)))-Avail_Nurse-(OTCapPct)*MIN((CEILING((ServiceTarget)*(Arr_M)/Cap_Nurse,1)+CEILING((ServiceTarget)*(Arr_E)/Cap_Nurse,1)+CEILING((ServiceTarget)*(Arr_N)/Cap_Nurse,1)),Avail_Nurse)))*Cap_Nurse+(MAX(0,((CEILING((ServiceTarget)*(Arr_M)/Cap_Tech,1)+CEILING((ServiceTarget)*(Arr_E)/Cap_Tech,1)+CEILING((ServiceTarget)*(Arr_N)/Cap_Tech,1)))-Avail_Tech-(OTCapPct)*MIN((CEILING((ServiceTarget)*(Arr_M)/Cap_Tech,1)+CEILING((ServiceTarget)*(Arr_E)/Cap_Tech,1)+CEILING((ServiceTarget)*(Arr_N)/Cap_Tech,1)),Avail_Tech)))*Cap_Tech+(MAX(0,(ServiceTarget)*Arr_M-(BedsAdded+BedsCurrent)*ShiftHours/BedHr_M)+MAX(0,(ServiceTarget)*Arr_E-(BedsAdded+BedsCurrent)*ShiftHours/BedHr_E)+MAX(0,(ServiceTarget)*Arr_N-(BedsAdded+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Arr_M+Arr_E+Arr_N)</f>
        <v>0.91037037037037039</v>
      </c>
      <c r="D11" s="37">
        <f>(MAX(0,((CEILING((ServiceTarget)*(Arr_M*(1+0.5*Acuity_M))/Cap_Doc,1)+CEILING((ServiceTarget)*(Arr_E*(1+0.5*Acuity_E))/Cap_Doc,1)+CEILING((ServiceTarget)*(Arr_N*(1+0.5*Acuity_N))/Cap_Doc,1)))-Avail_Doc-(OTCapPct)*MIN((CEILING((ServiceTarget)*(Arr_M*(1+0.5*Acuity_M))/Cap_Doc,1)+CEILING((ServiceTarget)*(Arr_E*(1+0.5*Acuity_E))/Cap_Doc,1)+CEILING((ServiceTarget)*(Arr_N*(1+0.5*Acuity_N))/Cap_Doc,1)),Avail_Doc)))*Cap_Doc+(MAX(0,((CEILING((ServiceTarget)*(Arr_M)/Cap_Nurse,1)+CEILING((ServiceTarget)*(Arr_E)/Cap_Nurse,1)+CEILING((ServiceTarget)*(Arr_N)/Cap_Nurse,1)))-Avail_Nurse-(OTCapPct)*MIN((CEILING((ServiceTarget)*(Arr_M)/Cap_Nurse,1)+CEILING((ServiceTarget)*(Arr_E)/Cap_Nurse,1)+CEILING((ServiceTarget)*(Arr_N)/Cap_Nurse,1)),Avail_Nurse)))*Cap_Nurse+(MAX(0,((CEILING((ServiceTarget)*(Arr_M)/Cap_Tech,1)+CEILING((ServiceTarget)*(Arr_E)/Cap_Tech,1)+CEILING((ServiceTarget)*(Arr_N)/Cap_Tech,1)))-Avail_Tech-(OTCapPct)*MIN((CEILING((ServiceTarget)*(Arr_M)/Cap_Tech,1)+CEILING((ServiceTarget)*(Arr_E)/Cap_Tech,1)+CEILING((ServiceTarget)*(Arr_N)/Cap_Tech,1)),Avail_Tech)))*Cap_Tech+(MAX(0,(ServiceTarget)*Arr_M-(BedsAdded+BedsCurrent)*ShiftHours/BedHr_M)+MAX(0,(ServiceTarget)*Arr_E-(BedsAdded+BedsCurrent)*ShiftHours/BedHr_E)+MAX(0,(ServiceTarget)*Arr_N-(BedsAdded+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f>
        <v>24.200000000000003</v>
      </c>
    </row>
    <row r="13" spans="1:5" ht="15.75" x14ac:dyDescent="0.25">
      <c r="A13" s="5" t="s">
        <v>174</v>
      </c>
      <c r="B13" s="6"/>
      <c r="C13" s="6"/>
      <c r="D13" s="6"/>
      <c r="E13" s="6"/>
    </row>
    <row r="14" spans="1:5" ht="30" x14ac:dyDescent="0.25">
      <c r="A14" s="27" t="s">
        <v>175</v>
      </c>
      <c r="B14" s="27" t="s">
        <v>169</v>
      </c>
      <c r="C14" s="27" t="s">
        <v>170</v>
      </c>
      <c r="D14" s="27" t="s">
        <v>171</v>
      </c>
      <c r="E14" s="27" t="s">
        <v>172</v>
      </c>
    </row>
    <row r="15" spans="1:5" x14ac:dyDescent="0.25">
      <c r="A15" s="31">
        <v>0.15</v>
      </c>
      <c r="B15" s="19">
        <f>((MIN((CEILING((ServiceTarget)*(Arr_M*(1+0.5*Acuity_M))/Cap_Doc,1)+CEILING((ServiceTarget)*(Arr_E*(1+0.5*Acuity_E))/Cap_Doc,1)+CEILING((ServiceTarget)*(Arr_N*(1+0.5*Acuity_N))/Cap_Doc,1)),Avail_Doc))*RegCost_Doc+(MIN(MAX((CEILING((ServiceTarget)*(Arr_M*(1+0.5*Acuity_M))/Cap_Doc,1)+CEILING((ServiceTarget)*(Arr_E*(1+0.5*Acuity_E))/Cap_Doc,1)+CEILING((ServiceTarget)*(Arr_N*(1+0.5*Acuity_N))/Cap_Doc,1))-Avail_Doc,0),(0.15)*MIN((CEILING((ServiceTarget)*(Arr_M*(1+0.5*Acuity_M))/Cap_Doc,1)+CEILING((ServiceTarget)*(Arr_E*(1+0.5*Acuity_E))/Cap_Doc,1)+CEILING((ServiceTarget)*(Arr_N*(1+0.5*Acuity_N))/Cap_Doc,1)),Avail_Doc)))*OTCost_Doc+(MIN((CEILING((ServiceTarget)*(Arr_M)/Cap_Nurse,1)+CEILING((ServiceTarget)*(Arr_E)/Cap_Nurse,1)+CEILING((ServiceTarget)*(Arr_N)/Cap_Nurse,1)),Avail_Nurse))*RegCost_Nurse+(MIN(MAX((CEILING((ServiceTarget)*(Arr_M)/Cap_Nurse,1)+CEILING((ServiceTarget)*(Arr_E)/Cap_Nurse,1)+CEILING((ServiceTarget)*(Arr_N)/Cap_Nurse,1))-Avail_Nurse,0),(0.15)*MIN((CEILING((ServiceTarget)*(Arr_M)/Cap_Nurse,1)+CEILING((ServiceTarget)*(Arr_E)/Cap_Nurse,1)+CEILING((ServiceTarget)*(Arr_N)/Cap_Nurse,1)),Avail_Nurse)))*OTCost_Nurse+(MIN((CEILING((ServiceTarget)*(Arr_M)/Cap_Tech,1)+CEILING((ServiceTarget)*(Arr_E)/Cap_Tech,1)+CEILING((ServiceTarget)*(Arr_N)/Cap_Tech,1)),Avail_Tech))*RegCost_Tech+(MIN(MAX((CEILING((ServiceTarget)*(Arr_M)/Cap_Tech,1)+CEILING((ServiceTarget)*(Arr_E)/Cap_Tech,1)+CEILING((ServiceTarget)*(Arr_N)/Cap_Tech,1))-Avail_Tech,0),(0.15)*MIN((CEILING((ServiceTarget)*(Arr_M)/Cap_Tech,1)+CEILING((ServiceTarget)*(Arr_E)/Cap_Tech,1)+CEILING((ServiceTarget)*(Arr_N)/Cap_Tech,1)),Avail_Tech)))*OTCost_Tech)+((BedsAdded)*BedCostPerBed+(ImgExpOn)*ImgExpCost+(LabExpOn)*LabExpCost)+(((MAX(0,((CEILING((ServiceTarget)*(Arr_M*(1+0.5*Acuity_M))/Cap_Doc,1)+CEILING((ServiceTarget)*(Arr_E*(1+0.5*Acuity_E))/Cap_Doc,1)+CEILING((ServiceTarget)*(Arr_N*(1+0.5*Acuity_N))/Cap_Doc,1)))-Avail_Doc-(0.15)*MIN((CEILING((ServiceTarget)*(Arr_M*(1+0.5*Acuity_M))/Cap_Doc,1)+CEILING((ServiceTarget)*(Arr_E*(1+0.5*Acuity_E))/Cap_Doc,1)+CEILING((ServiceTarget)*(Arr_N*(1+0.5*Acuity_N))/Cap_Doc,1)),Avail_Doc)))*Cap_Doc+(MAX(0,((CEILING((ServiceTarget)*(Arr_M)/Cap_Nurse,1)+CEILING((ServiceTarget)*(Arr_E)/Cap_Nurse,1)+CEILING((ServiceTarget)*(Arr_N)/Cap_Nurse,1)))-Avail_Nurse-(0.15)*MIN((CEILING((ServiceTarget)*(Arr_M)/Cap_Nurse,1)+CEILING((ServiceTarget)*(Arr_E)/Cap_Nurse,1)+CEILING((ServiceTarget)*(Arr_N)/Cap_Nurse,1)),Avail_Nurse)))*Cap_Nurse+(MAX(0,((CEILING((ServiceTarget)*(Arr_M)/Cap_Tech,1)+CEILING((ServiceTarget)*(Arr_E)/Cap_Tech,1)+CEILING((ServiceTarget)*(Arr_N)/Cap_Tech,1)))-Avail_Tech-(0.15)*MIN((CEILING((ServiceTarget)*(Arr_M)/Cap_Tech,1)+CEILING((ServiceTarget)*(Arr_E)/Cap_Tech,1)+CEILING((ServiceTarget)*(Arr_N)/Cap_Tech,1)),Avail_Tech)))*Cap_Tech+(MAX(0,(ServiceTarget)*Arr_M-(BedsAdded+BedsCurrent)*ShiftHours/BedHr_M)+MAX(0,(ServiceTarget)*Arr_E-(BedsAdded+BedsCurrent)*ShiftHours/BedHr_E)+MAX(0,(ServiceTarget)*Arr_N-(BedsAdded+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PenUncovered*(1-DivertShare)+PenDiverted*DivertShare))</f>
        <v>466610</v>
      </c>
      <c r="C15" s="32">
        <f>1-((MAX(0,((CEILING((ServiceTarget)*(Arr_M*(1+0.5*Acuity_M))/Cap_Doc,1)+CEILING((ServiceTarget)*(Arr_E*(1+0.5*Acuity_E))/Cap_Doc,1)+CEILING((ServiceTarget)*(Arr_N*(1+0.5*Acuity_N))/Cap_Doc,1)))-Avail_Doc-(0.15)*MIN((CEILING((ServiceTarget)*(Arr_M*(1+0.5*Acuity_M))/Cap_Doc,1)+CEILING((ServiceTarget)*(Arr_E*(1+0.5*Acuity_E))/Cap_Doc,1)+CEILING((ServiceTarget)*(Arr_N*(1+0.5*Acuity_N))/Cap_Doc,1)),Avail_Doc)))*Cap_Doc+(MAX(0,((CEILING((ServiceTarget)*(Arr_M)/Cap_Nurse,1)+CEILING((ServiceTarget)*(Arr_E)/Cap_Nurse,1)+CEILING((ServiceTarget)*(Arr_N)/Cap_Nurse,1)))-Avail_Nurse-(0.15)*MIN((CEILING((ServiceTarget)*(Arr_M)/Cap_Nurse,1)+CEILING((ServiceTarget)*(Arr_E)/Cap_Nurse,1)+CEILING((ServiceTarget)*(Arr_N)/Cap_Nurse,1)),Avail_Nurse)))*Cap_Nurse+(MAX(0,((CEILING((ServiceTarget)*(Arr_M)/Cap_Tech,1)+CEILING((ServiceTarget)*(Arr_E)/Cap_Tech,1)+CEILING((ServiceTarget)*(Arr_N)/Cap_Tech,1)))-Avail_Tech-(0.15)*MIN((CEILING((ServiceTarget)*(Arr_M)/Cap_Tech,1)+CEILING((ServiceTarget)*(Arr_E)/Cap_Tech,1)+CEILING((ServiceTarget)*(Arr_N)/Cap_Tech,1)),Avail_Tech)))*Cap_Tech+(MAX(0,(ServiceTarget)*Arr_M-(BedsAdded+BedsCurrent)*ShiftHours/BedHr_M)+MAX(0,(ServiceTarget)*Arr_E-(BedsAdded+BedsCurrent)*ShiftHours/BedHr_E)+MAX(0,(ServiceTarget)*Arr_N-(BedsAdded+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Arr_M+Arr_E+Arr_N)</f>
        <v>0.91037037037037039</v>
      </c>
      <c r="D15" s="29">
        <f>(MAX(0,((CEILING((ServiceTarget)*(Arr_M*(1+0.5*Acuity_M))/Cap_Doc,1)+CEILING((ServiceTarget)*(Arr_E*(1+0.5*Acuity_E))/Cap_Doc,1)+CEILING((ServiceTarget)*(Arr_N*(1+0.5*Acuity_N))/Cap_Doc,1)))-Avail_Doc-(0.15)*MIN((CEILING((ServiceTarget)*(Arr_M*(1+0.5*Acuity_M))/Cap_Doc,1)+CEILING((ServiceTarget)*(Arr_E*(1+0.5*Acuity_E))/Cap_Doc,1)+CEILING((ServiceTarget)*(Arr_N*(1+0.5*Acuity_N))/Cap_Doc,1)),Avail_Doc)))*Cap_Doc+(MAX(0,((CEILING((ServiceTarget)*(Arr_M)/Cap_Nurse,1)+CEILING((ServiceTarget)*(Arr_E)/Cap_Nurse,1)+CEILING((ServiceTarget)*(Arr_N)/Cap_Nurse,1)))-Avail_Nurse-(0.15)*MIN((CEILING((ServiceTarget)*(Arr_M)/Cap_Nurse,1)+CEILING((ServiceTarget)*(Arr_E)/Cap_Nurse,1)+CEILING((ServiceTarget)*(Arr_N)/Cap_Nurse,1)),Avail_Nurse)))*Cap_Nurse+(MAX(0,((CEILING((ServiceTarget)*(Arr_M)/Cap_Tech,1)+CEILING((ServiceTarget)*(Arr_E)/Cap_Tech,1)+CEILING((ServiceTarget)*(Arr_N)/Cap_Tech,1)))-Avail_Tech-(0.15)*MIN((CEILING((ServiceTarget)*(Arr_M)/Cap_Tech,1)+CEILING((ServiceTarget)*(Arr_E)/Cap_Tech,1)+CEILING((ServiceTarget)*(Arr_N)/Cap_Tech,1)),Avail_Tech)))*Cap_Tech+(MAX(0,(ServiceTarget)*Arr_M-(BedsAdded+BedsCurrent)*ShiftHours/BedHr_M)+MAX(0,(ServiceTarget)*Arr_E-(BedsAdded+BedsCurrent)*ShiftHours/BedHr_E)+MAX(0,(ServiceTarget)*Arr_N-(BedsAdded+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f>
        <v>24.200000000000003</v>
      </c>
      <c r="E15" s="33">
        <f>B15-B20</f>
        <v>0</v>
      </c>
    </row>
    <row r="16" spans="1:5" x14ac:dyDescent="0.25">
      <c r="A16" s="31">
        <v>0.2</v>
      </c>
      <c r="B16" s="19">
        <f>((MIN((CEILING((ServiceTarget)*(Arr_M*(1+0.5*Acuity_M))/Cap_Doc,1)+CEILING((ServiceTarget)*(Arr_E*(1+0.5*Acuity_E))/Cap_Doc,1)+CEILING((ServiceTarget)*(Arr_N*(1+0.5*Acuity_N))/Cap_Doc,1)),Avail_Doc))*RegCost_Doc+(MIN(MAX((CEILING((ServiceTarget)*(Arr_M*(1+0.5*Acuity_M))/Cap_Doc,1)+CEILING((ServiceTarget)*(Arr_E*(1+0.5*Acuity_E))/Cap_Doc,1)+CEILING((ServiceTarget)*(Arr_N*(1+0.5*Acuity_N))/Cap_Doc,1))-Avail_Doc,0),(0.2)*MIN((CEILING((ServiceTarget)*(Arr_M*(1+0.5*Acuity_M))/Cap_Doc,1)+CEILING((ServiceTarget)*(Arr_E*(1+0.5*Acuity_E))/Cap_Doc,1)+CEILING((ServiceTarget)*(Arr_N*(1+0.5*Acuity_N))/Cap_Doc,1)),Avail_Doc)))*OTCost_Doc+(MIN((CEILING((ServiceTarget)*(Arr_M)/Cap_Nurse,1)+CEILING((ServiceTarget)*(Arr_E)/Cap_Nurse,1)+CEILING((ServiceTarget)*(Arr_N)/Cap_Nurse,1)),Avail_Nurse))*RegCost_Nurse+(MIN(MAX((CEILING((ServiceTarget)*(Arr_M)/Cap_Nurse,1)+CEILING((ServiceTarget)*(Arr_E)/Cap_Nurse,1)+CEILING((ServiceTarget)*(Arr_N)/Cap_Nurse,1))-Avail_Nurse,0),(0.2)*MIN((CEILING((ServiceTarget)*(Arr_M)/Cap_Nurse,1)+CEILING((ServiceTarget)*(Arr_E)/Cap_Nurse,1)+CEILING((ServiceTarget)*(Arr_N)/Cap_Nurse,1)),Avail_Nurse)))*OTCost_Nurse+(MIN((CEILING((ServiceTarget)*(Arr_M)/Cap_Tech,1)+CEILING((ServiceTarget)*(Arr_E)/Cap_Tech,1)+CEILING((ServiceTarget)*(Arr_N)/Cap_Tech,1)),Avail_Tech))*RegCost_Tech+(MIN(MAX((CEILING((ServiceTarget)*(Arr_M)/Cap_Tech,1)+CEILING((ServiceTarget)*(Arr_E)/Cap_Tech,1)+CEILING((ServiceTarget)*(Arr_N)/Cap_Tech,1))-Avail_Tech,0),(0.2)*MIN((CEILING((ServiceTarget)*(Arr_M)/Cap_Tech,1)+CEILING((ServiceTarget)*(Arr_E)/Cap_Tech,1)+CEILING((ServiceTarget)*(Arr_N)/Cap_Tech,1)),Avail_Tech)))*OTCost_Tech)+((BedsAdded)*BedCostPerBed+(ImgExpOn)*ImgExpCost+(LabExpOn)*LabExpCost)+(((MAX(0,((CEILING((ServiceTarget)*(Arr_M*(1+0.5*Acuity_M))/Cap_Doc,1)+CEILING((ServiceTarget)*(Arr_E*(1+0.5*Acuity_E))/Cap_Doc,1)+CEILING((ServiceTarget)*(Arr_N*(1+0.5*Acuity_N))/Cap_Doc,1)))-Avail_Doc-(0.2)*MIN((CEILING((ServiceTarget)*(Arr_M*(1+0.5*Acuity_M))/Cap_Doc,1)+CEILING((ServiceTarget)*(Arr_E*(1+0.5*Acuity_E))/Cap_Doc,1)+CEILING((ServiceTarget)*(Arr_N*(1+0.5*Acuity_N))/Cap_Doc,1)),Avail_Doc)))*Cap_Doc+(MAX(0,((CEILING((ServiceTarget)*(Arr_M)/Cap_Nurse,1)+CEILING((ServiceTarget)*(Arr_E)/Cap_Nurse,1)+CEILING((ServiceTarget)*(Arr_N)/Cap_Nurse,1)))-Avail_Nurse-(0.2)*MIN((CEILING((ServiceTarget)*(Arr_M)/Cap_Nurse,1)+CEILING((ServiceTarget)*(Arr_E)/Cap_Nurse,1)+CEILING((ServiceTarget)*(Arr_N)/Cap_Nurse,1)),Avail_Nurse)))*Cap_Nurse+(MAX(0,((CEILING((ServiceTarget)*(Arr_M)/Cap_Tech,1)+CEILING((ServiceTarget)*(Arr_E)/Cap_Tech,1)+CEILING((ServiceTarget)*(Arr_N)/Cap_Tech,1)))-Avail_Tech-(0.2)*MIN((CEILING((ServiceTarget)*(Arr_M)/Cap_Tech,1)+CEILING((ServiceTarget)*(Arr_E)/Cap_Tech,1)+CEILING((ServiceTarget)*(Arr_N)/Cap_Tech,1)),Avail_Tech)))*Cap_Tech+(MAX(0,(ServiceTarget)*Arr_M-(BedsAdded+BedsCurrent)*ShiftHours/BedHr_M)+MAX(0,(ServiceTarget)*Arr_E-(BedsAdded+BedsCurrent)*ShiftHours/BedHr_E)+MAX(0,(ServiceTarget)*Arr_N-(BedsAdded+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PenUncovered*(1-DivertShare)+PenDiverted*DivertShare))</f>
        <v>466610</v>
      </c>
      <c r="C16" s="32">
        <f>1-((MAX(0,((CEILING((ServiceTarget)*(Arr_M*(1+0.5*Acuity_M))/Cap_Doc,1)+CEILING((ServiceTarget)*(Arr_E*(1+0.5*Acuity_E))/Cap_Doc,1)+CEILING((ServiceTarget)*(Arr_N*(1+0.5*Acuity_N))/Cap_Doc,1)))-Avail_Doc-(0.2)*MIN((CEILING((ServiceTarget)*(Arr_M*(1+0.5*Acuity_M))/Cap_Doc,1)+CEILING((ServiceTarget)*(Arr_E*(1+0.5*Acuity_E))/Cap_Doc,1)+CEILING((ServiceTarget)*(Arr_N*(1+0.5*Acuity_N))/Cap_Doc,1)),Avail_Doc)))*Cap_Doc+(MAX(0,((CEILING((ServiceTarget)*(Arr_M)/Cap_Nurse,1)+CEILING((ServiceTarget)*(Arr_E)/Cap_Nurse,1)+CEILING((ServiceTarget)*(Arr_N)/Cap_Nurse,1)))-Avail_Nurse-(0.2)*MIN((CEILING((ServiceTarget)*(Arr_M)/Cap_Nurse,1)+CEILING((ServiceTarget)*(Arr_E)/Cap_Nurse,1)+CEILING((ServiceTarget)*(Arr_N)/Cap_Nurse,1)),Avail_Nurse)))*Cap_Nurse+(MAX(0,((CEILING((ServiceTarget)*(Arr_M)/Cap_Tech,1)+CEILING((ServiceTarget)*(Arr_E)/Cap_Tech,1)+CEILING((ServiceTarget)*(Arr_N)/Cap_Tech,1)))-Avail_Tech-(0.2)*MIN((CEILING((ServiceTarget)*(Arr_M)/Cap_Tech,1)+CEILING((ServiceTarget)*(Arr_E)/Cap_Tech,1)+CEILING((ServiceTarget)*(Arr_N)/Cap_Tech,1)),Avail_Tech)))*Cap_Tech+(MAX(0,(ServiceTarget)*Arr_M-(BedsAdded+BedsCurrent)*ShiftHours/BedHr_M)+MAX(0,(ServiceTarget)*Arr_E-(BedsAdded+BedsCurrent)*ShiftHours/BedHr_E)+MAX(0,(ServiceTarget)*Arr_N-(BedsAdded+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Arr_M+Arr_E+Arr_N)</f>
        <v>0.91037037037037039</v>
      </c>
      <c r="D16" s="29">
        <f>(MAX(0,((CEILING((ServiceTarget)*(Arr_M*(1+0.5*Acuity_M))/Cap_Doc,1)+CEILING((ServiceTarget)*(Arr_E*(1+0.5*Acuity_E))/Cap_Doc,1)+CEILING((ServiceTarget)*(Arr_N*(1+0.5*Acuity_N))/Cap_Doc,1)))-Avail_Doc-(0.2)*MIN((CEILING((ServiceTarget)*(Arr_M*(1+0.5*Acuity_M))/Cap_Doc,1)+CEILING((ServiceTarget)*(Arr_E*(1+0.5*Acuity_E))/Cap_Doc,1)+CEILING((ServiceTarget)*(Arr_N*(1+0.5*Acuity_N))/Cap_Doc,1)),Avail_Doc)))*Cap_Doc+(MAX(0,((CEILING((ServiceTarget)*(Arr_M)/Cap_Nurse,1)+CEILING((ServiceTarget)*(Arr_E)/Cap_Nurse,1)+CEILING((ServiceTarget)*(Arr_N)/Cap_Nurse,1)))-Avail_Nurse-(0.2)*MIN((CEILING((ServiceTarget)*(Arr_M)/Cap_Nurse,1)+CEILING((ServiceTarget)*(Arr_E)/Cap_Nurse,1)+CEILING((ServiceTarget)*(Arr_N)/Cap_Nurse,1)),Avail_Nurse)))*Cap_Nurse+(MAX(0,((CEILING((ServiceTarget)*(Arr_M)/Cap_Tech,1)+CEILING((ServiceTarget)*(Arr_E)/Cap_Tech,1)+CEILING((ServiceTarget)*(Arr_N)/Cap_Tech,1)))-Avail_Tech-(0.2)*MIN((CEILING((ServiceTarget)*(Arr_M)/Cap_Tech,1)+CEILING((ServiceTarget)*(Arr_E)/Cap_Tech,1)+CEILING((ServiceTarget)*(Arr_N)/Cap_Tech,1)),Avail_Tech)))*Cap_Tech+(MAX(0,(ServiceTarget)*Arr_M-(BedsAdded+BedsCurrent)*ShiftHours/BedHr_M)+MAX(0,(ServiceTarget)*Arr_E-(BedsAdded+BedsCurrent)*ShiftHours/BedHr_E)+MAX(0,(ServiceTarget)*Arr_N-(BedsAdded+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f>
        <v>24.200000000000003</v>
      </c>
      <c r="E16" s="33">
        <f>B16-B20</f>
        <v>0</v>
      </c>
    </row>
    <row r="17" spans="1:5" x14ac:dyDescent="0.25">
      <c r="A17" s="31">
        <v>0.25</v>
      </c>
      <c r="B17" s="19">
        <f>((MIN((CEILING((ServiceTarget)*(Arr_M*(1+0.5*Acuity_M))/Cap_Doc,1)+CEILING((ServiceTarget)*(Arr_E*(1+0.5*Acuity_E))/Cap_Doc,1)+CEILING((ServiceTarget)*(Arr_N*(1+0.5*Acuity_N))/Cap_Doc,1)),Avail_Doc))*RegCost_Doc+(MIN(MAX((CEILING((ServiceTarget)*(Arr_M*(1+0.5*Acuity_M))/Cap_Doc,1)+CEILING((ServiceTarget)*(Arr_E*(1+0.5*Acuity_E))/Cap_Doc,1)+CEILING((ServiceTarget)*(Arr_N*(1+0.5*Acuity_N))/Cap_Doc,1))-Avail_Doc,0),(0.25)*MIN((CEILING((ServiceTarget)*(Arr_M*(1+0.5*Acuity_M))/Cap_Doc,1)+CEILING((ServiceTarget)*(Arr_E*(1+0.5*Acuity_E))/Cap_Doc,1)+CEILING((ServiceTarget)*(Arr_N*(1+0.5*Acuity_N))/Cap_Doc,1)),Avail_Doc)))*OTCost_Doc+(MIN((CEILING((ServiceTarget)*(Arr_M)/Cap_Nurse,1)+CEILING((ServiceTarget)*(Arr_E)/Cap_Nurse,1)+CEILING((ServiceTarget)*(Arr_N)/Cap_Nurse,1)),Avail_Nurse))*RegCost_Nurse+(MIN(MAX((CEILING((ServiceTarget)*(Arr_M)/Cap_Nurse,1)+CEILING((ServiceTarget)*(Arr_E)/Cap_Nurse,1)+CEILING((ServiceTarget)*(Arr_N)/Cap_Nurse,1))-Avail_Nurse,0),(0.25)*MIN((CEILING((ServiceTarget)*(Arr_M)/Cap_Nurse,1)+CEILING((ServiceTarget)*(Arr_E)/Cap_Nurse,1)+CEILING((ServiceTarget)*(Arr_N)/Cap_Nurse,1)),Avail_Nurse)))*OTCost_Nurse+(MIN((CEILING((ServiceTarget)*(Arr_M)/Cap_Tech,1)+CEILING((ServiceTarget)*(Arr_E)/Cap_Tech,1)+CEILING((ServiceTarget)*(Arr_N)/Cap_Tech,1)),Avail_Tech))*RegCost_Tech+(MIN(MAX((CEILING((ServiceTarget)*(Arr_M)/Cap_Tech,1)+CEILING((ServiceTarget)*(Arr_E)/Cap_Tech,1)+CEILING((ServiceTarget)*(Arr_N)/Cap_Tech,1))-Avail_Tech,0),(0.25)*MIN((CEILING((ServiceTarget)*(Arr_M)/Cap_Tech,1)+CEILING((ServiceTarget)*(Arr_E)/Cap_Tech,1)+CEILING((ServiceTarget)*(Arr_N)/Cap_Tech,1)),Avail_Tech)))*OTCost_Tech)+((BedsAdded)*BedCostPerBed+(ImgExpOn)*ImgExpCost+(LabExpOn)*LabExpCost)+(((MAX(0,((CEILING((ServiceTarget)*(Arr_M*(1+0.5*Acuity_M))/Cap_Doc,1)+CEILING((ServiceTarget)*(Arr_E*(1+0.5*Acuity_E))/Cap_Doc,1)+CEILING((ServiceTarget)*(Arr_N*(1+0.5*Acuity_N))/Cap_Doc,1)))-Avail_Doc-(0.25)*MIN((CEILING((ServiceTarget)*(Arr_M*(1+0.5*Acuity_M))/Cap_Doc,1)+CEILING((ServiceTarget)*(Arr_E*(1+0.5*Acuity_E))/Cap_Doc,1)+CEILING((ServiceTarget)*(Arr_N*(1+0.5*Acuity_N))/Cap_Doc,1)),Avail_Doc)))*Cap_Doc+(MAX(0,((CEILING((ServiceTarget)*(Arr_M)/Cap_Nurse,1)+CEILING((ServiceTarget)*(Arr_E)/Cap_Nurse,1)+CEILING((ServiceTarget)*(Arr_N)/Cap_Nurse,1)))-Avail_Nurse-(0.25)*MIN((CEILING((ServiceTarget)*(Arr_M)/Cap_Nurse,1)+CEILING((ServiceTarget)*(Arr_E)/Cap_Nurse,1)+CEILING((ServiceTarget)*(Arr_N)/Cap_Nurse,1)),Avail_Nurse)))*Cap_Nurse+(MAX(0,((CEILING((ServiceTarget)*(Arr_M)/Cap_Tech,1)+CEILING((ServiceTarget)*(Arr_E)/Cap_Tech,1)+CEILING((ServiceTarget)*(Arr_N)/Cap_Tech,1)))-Avail_Tech-(0.25)*MIN((CEILING((ServiceTarget)*(Arr_M)/Cap_Tech,1)+CEILING((ServiceTarget)*(Arr_E)/Cap_Tech,1)+CEILING((ServiceTarget)*(Arr_N)/Cap_Tech,1)),Avail_Tech)))*Cap_Tech+(MAX(0,(ServiceTarget)*Arr_M-(BedsAdded+BedsCurrent)*ShiftHours/BedHr_M)+MAX(0,(ServiceTarget)*Arr_E-(BedsAdded+BedsCurrent)*ShiftHours/BedHr_E)+MAX(0,(ServiceTarget)*Arr_N-(BedsAdded+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PenUncovered*(1-DivertShare)+PenDiverted*DivertShare))</f>
        <v>466610</v>
      </c>
      <c r="C17" s="32">
        <f>1-((MAX(0,((CEILING((ServiceTarget)*(Arr_M*(1+0.5*Acuity_M))/Cap_Doc,1)+CEILING((ServiceTarget)*(Arr_E*(1+0.5*Acuity_E))/Cap_Doc,1)+CEILING((ServiceTarget)*(Arr_N*(1+0.5*Acuity_N))/Cap_Doc,1)))-Avail_Doc-(0.25)*MIN((CEILING((ServiceTarget)*(Arr_M*(1+0.5*Acuity_M))/Cap_Doc,1)+CEILING((ServiceTarget)*(Arr_E*(1+0.5*Acuity_E))/Cap_Doc,1)+CEILING((ServiceTarget)*(Arr_N*(1+0.5*Acuity_N))/Cap_Doc,1)),Avail_Doc)))*Cap_Doc+(MAX(0,((CEILING((ServiceTarget)*(Arr_M)/Cap_Nurse,1)+CEILING((ServiceTarget)*(Arr_E)/Cap_Nurse,1)+CEILING((ServiceTarget)*(Arr_N)/Cap_Nurse,1)))-Avail_Nurse-(0.25)*MIN((CEILING((ServiceTarget)*(Arr_M)/Cap_Nurse,1)+CEILING((ServiceTarget)*(Arr_E)/Cap_Nurse,1)+CEILING((ServiceTarget)*(Arr_N)/Cap_Nurse,1)),Avail_Nurse)))*Cap_Nurse+(MAX(0,((CEILING((ServiceTarget)*(Arr_M)/Cap_Tech,1)+CEILING((ServiceTarget)*(Arr_E)/Cap_Tech,1)+CEILING((ServiceTarget)*(Arr_N)/Cap_Tech,1)))-Avail_Tech-(0.25)*MIN((CEILING((ServiceTarget)*(Arr_M)/Cap_Tech,1)+CEILING((ServiceTarget)*(Arr_E)/Cap_Tech,1)+CEILING((ServiceTarget)*(Arr_N)/Cap_Tech,1)),Avail_Tech)))*Cap_Tech+(MAX(0,(ServiceTarget)*Arr_M-(BedsAdded+BedsCurrent)*ShiftHours/BedHr_M)+MAX(0,(ServiceTarget)*Arr_E-(BedsAdded+BedsCurrent)*ShiftHours/BedHr_E)+MAX(0,(ServiceTarget)*Arr_N-(BedsAdded+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Arr_M+Arr_E+Arr_N)</f>
        <v>0.91037037037037039</v>
      </c>
      <c r="D17" s="29">
        <f>(MAX(0,((CEILING((ServiceTarget)*(Arr_M*(1+0.5*Acuity_M))/Cap_Doc,1)+CEILING((ServiceTarget)*(Arr_E*(1+0.5*Acuity_E))/Cap_Doc,1)+CEILING((ServiceTarget)*(Arr_N*(1+0.5*Acuity_N))/Cap_Doc,1)))-Avail_Doc-(0.25)*MIN((CEILING((ServiceTarget)*(Arr_M*(1+0.5*Acuity_M))/Cap_Doc,1)+CEILING((ServiceTarget)*(Arr_E*(1+0.5*Acuity_E))/Cap_Doc,1)+CEILING((ServiceTarget)*(Arr_N*(1+0.5*Acuity_N))/Cap_Doc,1)),Avail_Doc)))*Cap_Doc+(MAX(0,((CEILING((ServiceTarget)*(Arr_M)/Cap_Nurse,1)+CEILING((ServiceTarget)*(Arr_E)/Cap_Nurse,1)+CEILING((ServiceTarget)*(Arr_N)/Cap_Nurse,1)))-Avail_Nurse-(0.25)*MIN((CEILING((ServiceTarget)*(Arr_M)/Cap_Nurse,1)+CEILING((ServiceTarget)*(Arr_E)/Cap_Nurse,1)+CEILING((ServiceTarget)*(Arr_N)/Cap_Nurse,1)),Avail_Nurse)))*Cap_Nurse+(MAX(0,((CEILING((ServiceTarget)*(Arr_M)/Cap_Tech,1)+CEILING((ServiceTarget)*(Arr_E)/Cap_Tech,1)+CEILING((ServiceTarget)*(Arr_N)/Cap_Tech,1)))-Avail_Tech-(0.25)*MIN((CEILING((ServiceTarget)*(Arr_M)/Cap_Tech,1)+CEILING((ServiceTarget)*(Arr_E)/Cap_Tech,1)+CEILING((ServiceTarget)*(Arr_N)/Cap_Tech,1)),Avail_Tech)))*Cap_Tech+(MAX(0,(ServiceTarget)*Arr_M-(BedsAdded+BedsCurrent)*ShiftHours/BedHr_M)+MAX(0,(ServiceTarget)*Arr_E-(BedsAdded+BedsCurrent)*ShiftHours/BedHr_E)+MAX(0,(ServiceTarget)*Arr_N-(BedsAdded+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f>
        <v>24.200000000000003</v>
      </c>
      <c r="E17" s="33">
        <f>B17-B20</f>
        <v>0</v>
      </c>
    </row>
    <row r="18" spans="1:5" x14ac:dyDescent="0.25">
      <c r="A18" s="31">
        <v>0.3</v>
      </c>
      <c r="B18" s="19">
        <f>((MIN((CEILING((ServiceTarget)*(Arr_M*(1+0.5*Acuity_M))/Cap_Doc,1)+CEILING((ServiceTarget)*(Arr_E*(1+0.5*Acuity_E))/Cap_Doc,1)+CEILING((ServiceTarget)*(Arr_N*(1+0.5*Acuity_N))/Cap_Doc,1)),Avail_Doc))*RegCost_Doc+(MIN(MAX((CEILING((ServiceTarget)*(Arr_M*(1+0.5*Acuity_M))/Cap_Doc,1)+CEILING((ServiceTarget)*(Arr_E*(1+0.5*Acuity_E))/Cap_Doc,1)+CEILING((ServiceTarget)*(Arr_N*(1+0.5*Acuity_N))/Cap_Doc,1))-Avail_Doc,0),(0.3)*MIN((CEILING((ServiceTarget)*(Arr_M*(1+0.5*Acuity_M))/Cap_Doc,1)+CEILING((ServiceTarget)*(Arr_E*(1+0.5*Acuity_E))/Cap_Doc,1)+CEILING((ServiceTarget)*(Arr_N*(1+0.5*Acuity_N))/Cap_Doc,1)),Avail_Doc)))*OTCost_Doc+(MIN((CEILING((ServiceTarget)*(Arr_M)/Cap_Nurse,1)+CEILING((ServiceTarget)*(Arr_E)/Cap_Nurse,1)+CEILING((ServiceTarget)*(Arr_N)/Cap_Nurse,1)),Avail_Nurse))*RegCost_Nurse+(MIN(MAX((CEILING((ServiceTarget)*(Arr_M)/Cap_Nurse,1)+CEILING((ServiceTarget)*(Arr_E)/Cap_Nurse,1)+CEILING((ServiceTarget)*(Arr_N)/Cap_Nurse,1))-Avail_Nurse,0),(0.3)*MIN((CEILING((ServiceTarget)*(Arr_M)/Cap_Nurse,1)+CEILING((ServiceTarget)*(Arr_E)/Cap_Nurse,1)+CEILING((ServiceTarget)*(Arr_N)/Cap_Nurse,1)),Avail_Nurse)))*OTCost_Nurse+(MIN((CEILING((ServiceTarget)*(Arr_M)/Cap_Tech,1)+CEILING((ServiceTarget)*(Arr_E)/Cap_Tech,1)+CEILING((ServiceTarget)*(Arr_N)/Cap_Tech,1)),Avail_Tech))*RegCost_Tech+(MIN(MAX((CEILING((ServiceTarget)*(Arr_M)/Cap_Tech,1)+CEILING((ServiceTarget)*(Arr_E)/Cap_Tech,1)+CEILING((ServiceTarget)*(Arr_N)/Cap_Tech,1))-Avail_Tech,0),(0.3)*MIN((CEILING((ServiceTarget)*(Arr_M)/Cap_Tech,1)+CEILING((ServiceTarget)*(Arr_E)/Cap_Tech,1)+CEILING((ServiceTarget)*(Arr_N)/Cap_Tech,1)),Avail_Tech)))*OTCost_Tech)+((BedsAdded)*BedCostPerBed+(ImgExpOn)*ImgExpCost+(LabExpOn)*LabExpCost)+(((MAX(0,((CEILING((ServiceTarget)*(Arr_M*(1+0.5*Acuity_M))/Cap_Doc,1)+CEILING((ServiceTarget)*(Arr_E*(1+0.5*Acuity_E))/Cap_Doc,1)+CEILING((ServiceTarget)*(Arr_N*(1+0.5*Acuity_N))/Cap_Doc,1)))-Avail_Doc-(0.3)*MIN((CEILING((ServiceTarget)*(Arr_M*(1+0.5*Acuity_M))/Cap_Doc,1)+CEILING((ServiceTarget)*(Arr_E*(1+0.5*Acuity_E))/Cap_Doc,1)+CEILING((ServiceTarget)*(Arr_N*(1+0.5*Acuity_N))/Cap_Doc,1)),Avail_Doc)))*Cap_Doc+(MAX(0,((CEILING((ServiceTarget)*(Arr_M)/Cap_Nurse,1)+CEILING((ServiceTarget)*(Arr_E)/Cap_Nurse,1)+CEILING((ServiceTarget)*(Arr_N)/Cap_Nurse,1)))-Avail_Nurse-(0.3)*MIN((CEILING((ServiceTarget)*(Arr_M)/Cap_Nurse,1)+CEILING((ServiceTarget)*(Arr_E)/Cap_Nurse,1)+CEILING((ServiceTarget)*(Arr_N)/Cap_Nurse,1)),Avail_Nurse)))*Cap_Nurse+(MAX(0,((CEILING((ServiceTarget)*(Arr_M)/Cap_Tech,1)+CEILING((ServiceTarget)*(Arr_E)/Cap_Tech,1)+CEILING((ServiceTarget)*(Arr_N)/Cap_Tech,1)))-Avail_Tech-(0.3)*MIN((CEILING((ServiceTarget)*(Arr_M)/Cap_Tech,1)+CEILING((ServiceTarget)*(Arr_E)/Cap_Tech,1)+CEILING((ServiceTarget)*(Arr_N)/Cap_Tech,1)),Avail_Tech)))*Cap_Tech+(MAX(0,(ServiceTarget)*Arr_M-(BedsAdded+BedsCurrent)*ShiftHours/BedHr_M)+MAX(0,(ServiceTarget)*Arr_E-(BedsAdded+BedsCurrent)*ShiftHours/BedHr_E)+MAX(0,(ServiceTarget)*Arr_N-(BedsAdded+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PenUncovered*(1-DivertShare)+PenDiverted*DivertShare))</f>
        <v>466610</v>
      </c>
      <c r="C18" s="32">
        <f>1-((MAX(0,((CEILING((ServiceTarget)*(Arr_M*(1+0.5*Acuity_M))/Cap_Doc,1)+CEILING((ServiceTarget)*(Arr_E*(1+0.5*Acuity_E))/Cap_Doc,1)+CEILING((ServiceTarget)*(Arr_N*(1+0.5*Acuity_N))/Cap_Doc,1)))-Avail_Doc-(0.3)*MIN((CEILING((ServiceTarget)*(Arr_M*(1+0.5*Acuity_M))/Cap_Doc,1)+CEILING((ServiceTarget)*(Arr_E*(1+0.5*Acuity_E))/Cap_Doc,1)+CEILING((ServiceTarget)*(Arr_N*(1+0.5*Acuity_N))/Cap_Doc,1)),Avail_Doc)))*Cap_Doc+(MAX(0,((CEILING((ServiceTarget)*(Arr_M)/Cap_Nurse,1)+CEILING((ServiceTarget)*(Arr_E)/Cap_Nurse,1)+CEILING((ServiceTarget)*(Arr_N)/Cap_Nurse,1)))-Avail_Nurse-(0.3)*MIN((CEILING((ServiceTarget)*(Arr_M)/Cap_Nurse,1)+CEILING((ServiceTarget)*(Arr_E)/Cap_Nurse,1)+CEILING((ServiceTarget)*(Arr_N)/Cap_Nurse,1)),Avail_Nurse)))*Cap_Nurse+(MAX(0,((CEILING((ServiceTarget)*(Arr_M)/Cap_Tech,1)+CEILING((ServiceTarget)*(Arr_E)/Cap_Tech,1)+CEILING((ServiceTarget)*(Arr_N)/Cap_Tech,1)))-Avail_Tech-(0.3)*MIN((CEILING((ServiceTarget)*(Arr_M)/Cap_Tech,1)+CEILING((ServiceTarget)*(Arr_E)/Cap_Tech,1)+CEILING((ServiceTarget)*(Arr_N)/Cap_Tech,1)),Avail_Tech)))*Cap_Tech+(MAX(0,(ServiceTarget)*Arr_M-(BedsAdded+BedsCurrent)*ShiftHours/BedHr_M)+MAX(0,(ServiceTarget)*Arr_E-(BedsAdded+BedsCurrent)*ShiftHours/BedHr_E)+MAX(0,(ServiceTarget)*Arr_N-(BedsAdded+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Arr_M+Arr_E+Arr_N)</f>
        <v>0.91037037037037039</v>
      </c>
      <c r="D18" s="29">
        <f>(MAX(0,((CEILING((ServiceTarget)*(Arr_M*(1+0.5*Acuity_M))/Cap_Doc,1)+CEILING((ServiceTarget)*(Arr_E*(1+0.5*Acuity_E))/Cap_Doc,1)+CEILING((ServiceTarget)*(Arr_N*(1+0.5*Acuity_N))/Cap_Doc,1)))-Avail_Doc-(0.3)*MIN((CEILING((ServiceTarget)*(Arr_M*(1+0.5*Acuity_M))/Cap_Doc,1)+CEILING((ServiceTarget)*(Arr_E*(1+0.5*Acuity_E))/Cap_Doc,1)+CEILING((ServiceTarget)*(Arr_N*(1+0.5*Acuity_N))/Cap_Doc,1)),Avail_Doc)))*Cap_Doc+(MAX(0,((CEILING((ServiceTarget)*(Arr_M)/Cap_Nurse,1)+CEILING((ServiceTarget)*(Arr_E)/Cap_Nurse,1)+CEILING((ServiceTarget)*(Arr_N)/Cap_Nurse,1)))-Avail_Nurse-(0.3)*MIN((CEILING((ServiceTarget)*(Arr_M)/Cap_Nurse,1)+CEILING((ServiceTarget)*(Arr_E)/Cap_Nurse,1)+CEILING((ServiceTarget)*(Arr_N)/Cap_Nurse,1)),Avail_Nurse)))*Cap_Nurse+(MAX(0,((CEILING((ServiceTarget)*(Arr_M)/Cap_Tech,1)+CEILING((ServiceTarget)*(Arr_E)/Cap_Tech,1)+CEILING((ServiceTarget)*(Arr_N)/Cap_Tech,1)))-Avail_Tech-(0.3)*MIN((CEILING((ServiceTarget)*(Arr_M)/Cap_Tech,1)+CEILING((ServiceTarget)*(Arr_E)/Cap_Tech,1)+CEILING((ServiceTarget)*(Arr_N)/Cap_Tech,1)),Avail_Tech)))*Cap_Tech+(MAX(0,(ServiceTarget)*Arr_M-(BedsAdded+BedsCurrent)*ShiftHours/BedHr_M)+MAX(0,(ServiceTarget)*Arr_E-(BedsAdded+BedsCurrent)*ShiftHours/BedHr_E)+MAX(0,(ServiceTarget)*Arr_N-(BedsAdded+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f>
        <v>24.200000000000003</v>
      </c>
      <c r="E18" s="33">
        <f>B18-B20</f>
        <v>0</v>
      </c>
    </row>
    <row r="19" spans="1:5" x14ac:dyDescent="0.25">
      <c r="A19" s="31">
        <v>0.35</v>
      </c>
      <c r="B19" s="19">
        <f>((MIN((CEILING((ServiceTarget)*(Arr_M*(1+0.5*Acuity_M))/Cap_Doc,1)+CEILING((ServiceTarget)*(Arr_E*(1+0.5*Acuity_E))/Cap_Doc,1)+CEILING((ServiceTarget)*(Arr_N*(1+0.5*Acuity_N))/Cap_Doc,1)),Avail_Doc))*RegCost_Doc+(MIN(MAX((CEILING((ServiceTarget)*(Arr_M*(1+0.5*Acuity_M))/Cap_Doc,1)+CEILING((ServiceTarget)*(Arr_E*(1+0.5*Acuity_E))/Cap_Doc,1)+CEILING((ServiceTarget)*(Arr_N*(1+0.5*Acuity_N))/Cap_Doc,1))-Avail_Doc,0),(0.35)*MIN((CEILING((ServiceTarget)*(Arr_M*(1+0.5*Acuity_M))/Cap_Doc,1)+CEILING((ServiceTarget)*(Arr_E*(1+0.5*Acuity_E))/Cap_Doc,1)+CEILING((ServiceTarget)*(Arr_N*(1+0.5*Acuity_N))/Cap_Doc,1)),Avail_Doc)))*OTCost_Doc+(MIN((CEILING((ServiceTarget)*(Arr_M)/Cap_Nurse,1)+CEILING((ServiceTarget)*(Arr_E)/Cap_Nurse,1)+CEILING((ServiceTarget)*(Arr_N)/Cap_Nurse,1)),Avail_Nurse))*RegCost_Nurse+(MIN(MAX((CEILING((ServiceTarget)*(Arr_M)/Cap_Nurse,1)+CEILING((ServiceTarget)*(Arr_E)/Cap_Nurse,1)+CEILING((ServiceTarget)*(Arr_N)/Cap_Nurse,1))-Avail_Nurse,0),(0.35)*MIN((CEILING((ServiceTarget)*(Arr_M)/Cap_Nurse,1)+CEILING((ServiceTarget)*(Arr_E)/Cap_Nurse,1)+CEILING((ServiceTarget)*(Arr_N)/Cap_Nurse,1)),Avail_Nurse)))*OTCost_Nurse+(MIN((CEILING((ServiceTarget)*(Arr_M)/Cap_Tech,1)+CEILING((ServiceTarget)*(Arr_E)/Cap_Tech,1)+CEILING((ServiceTarget)*(Arr_N)/Cap_Tech,1)),Avail_Tech))*RegCost_Tech+(MIN(MAX((CEILING((ServiceTarget)*(Arr_M)/Cap_Tech,1)+CEILING((ServiceTarget)*(Arr_E)/Cap_Tech,1)+CEILING((ServiceTarget)*(Arr_N)/Cap_Tech,1))-Avail_Tech,0),(0.35)*MIN((CEILING((ServiceTarget)*(Arr_M)/Cap_Tech,1)+CEILING((ServiceTarget)*(Arr_E)/Cap_Tech,1)+CEILING((ServiceTarget)*(Arr_N)/Cap_Tech,1)),Avail_Tech)))*OTCost_Tech)+((BedsAdded)*BedCostPerBed+(ImgExpOn)*ImgExpCost+(LabExpOn)*LabExpCost)+(((MAX(0,((CEILING((ServiceTarget)*(Arr_M*(1+0.5*Acuity_M))/Cap_Doc,1)+CEILING((ServiceTarget)*(Arr_E*(1+0.5*Acuity_E))/Cap_Doc,1)+CEILING((ServiceTarget)*(Arr_N*(1+0.5*Acuity_N))/Cap_Doc,1)))-Avail_Doc-(0.35)*MIN((CEILING((ServiceTarget)*(Arr_M*(1+0.5*Acuity_M))/Cap_Doc,1)+CEILING((ServiceTarget)*(Arr_E*(1+0.5*Acuity_E))/Cap_Doc,1)+CEILING((ServiceTarget)*(Arr_N*(1+0.5*Acuity_N))/Cap_Doc,1)),Avail_Doc)))*Cap_Doc+(MAX(0,((CEILING((ServiceTarget)*(Arr_M)/Cap_Nurse,1)+CEILING((ServiceTarget)*(Arr_E)/Cap_Nurse,1)+CEILING((ServiceTarget)*(Arr_N)/Cap_Nurse,1)))-Avail_Nurse-(0.35)*MIN((CEILING((ServiceTarget)*(Arr_M)/Cap_Nurse,1)+CEILING((ServiceTarget)*(Arr_E)/Cap_Nurse,1)+CEILING((ServiceTarget)*(Arr_N)/Cap_Nurse,1)),Avail_Nurse)))*Cap_Nurse+(MAX(0,((CEILING((ServiceTarget)*(Arr_M)/Cap_Tech,1)+CEILING((ServiceTarget)*(Arr_E)/Cap_Tech,1)+CEILING((ServiceTarget)*(Arr_N)/Cap_Tech,1)))-Avail_Tech-(0.35)*MIN((CEILING((ServiceTarget)*(Arr_M)/Cap_Tech,1)+CEILING((ServiceTarget)*(Arr_E)/Cap_Tech,1)+CEILING((ServiceTarget)*(Arr_N)/Cap_Tech,1)),Avail_Tech)))*Cap_Tech+(MAX(0,(ServiceTarget)*Arr_M-(BedsAdded+BedsCurrent)*ShiftHours/BedHr_M)+MAX(0,(ServiceTarget)*Arr_E-(BedsAdded+BedsCurrent)*ShiftHours/BedHr_E)+MAX(0,(ServiceTarget)*Arr_N-(BedsAdded+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PenUncovered*(1-DivertShare)+PenDiverted*DivertShare))</f>
        <v>466610</v>
      </c>
      <c r="C19" s="32">
        <f>1-((MAX(0,((CEILING((ServiceTarget)*(Arr_M*(1+0.5*Acuity_M))/Cap_Doc,1)+CEILING((ServiceTarget)*(Arr_E*(1+0.5*Acuity_E))/Cap_Doc,1)+CEILING((ServiceTarget)*(Arr_N*(1+0.5*Acuity_N))/Cap_Doc,1)))-Avail_Doc-(0.35)*MIN((CEILING((ServiceTarget)*(Arr_M*(1+0.5*Acuity_M))/Cap_Doc,1)+CEILING((ServiceTarget)*(Arr_E*(1+0.5*Acuity_E))/Cap_Doc,1)+CEILING((ServiceTarget)*(Arr_N*(1+0.5*Acuity_N))/Cap_Doc,1)),Avail_Doc)))*Cap_Doc+(MAX(0,((CEILING((ServiceTarget)*(Arr_M)/Cap_Nurse,1)+CEILING((ServiceTarget)*(Arr_E)/Cap_Nurse,1)+CEILING((ServiceTarget)*(Arr_N)/Cap_Nurse,1)))-Avail_Nurse-(0.35)*MIN((CEILING((ServiceTarget)*(Arr_M)/Cap_Nurse,1)+CEILING((ServiceTarget)*(Arr_E)/Cap_Nurse,1)+CEILING((ServiceTarget)*(Arr_N)/Cap_Nurse,1)),Avail_Nurse)))*Cap_Nurse+(MAX(0,((CEILING((ServiceTarget)*(Arr_M)/Cap_Tech,1)+CEILING((ServiceTarget)*(Arr_E)/Cap_Tech,1)+CEILING((ServiceTarget)*(Arr_N)/Cap_Tech,1)))-Avail_Tech-(0.35)*MIN((CEILING((ServiceTarget)*(Arr_M)/Cap_Tech,1)+CEILING((ServiceTarget)*(Arr_E)/Cap_Tech,1)+CEILING((ServiceTarget)*(Arr_N)/Cap_Tech,1)),Avail_Tech)))*Cap_Tech+(MAX(0,(ServiceTarget)*Arr_M-(BedsAdded+BedsCurrent)*ShiftHours/BedHr_M)+MAX(0,(ServiceTarget)*Arr_E-(BedsAdded+BedsCurrent)*ShiftHours/BedHr_E)+MAX(0,(ServiceTarget)*Arr_N-(BedsAdded+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Arr_M+Arr_E+Arr_N)</f>
        <v>0.91037037037037039</v>
      </c>
      <c r="D19" s="29">
        <f>(MAX(0,((CEILING((ServiceTarget)*(Arr_M*(1+0.5*Acuity_M))/Cap_Doc,1)+CEILING((ServiceTarget)*(Arr_E*(1+0.5*Acuity_E))/Cap_Doc,1)+CEILING((ServiceTarget)*(Arr_N*(1+0.5*Acuity_N))/Cap_Doc,1)))-Avail_Doc-(0.35)*MIN((CEILING((ServiceTarget)*(Arr_M*(1+0.5*Acuity_M))/Cap_Doc,1)+CEILING((ServiceTarget)*(Arr_E*(1+0.5*Acuity_E))/Cap_Doc,1)+CEILING((ServiceTarget)*(Arr_N*(1+0.5*Acuity_N))/Cap_Doc,1)),Avail_Doc)))*Cap_Doc+(MAX(0,((CEILING((ServiceTarget)*(Arr_M)/Cap_Nurse,1)+CEILING((ServiceTarget)*(Arr_E)/Cap_Nurse,1)+CEILING((ServiceTarget)*(Arr_N)/Cap_Nurse,1)))-Avail_Nurse-(0.35)*MIN((CEILING((ServiceTarget)*(Arr_M)/Cap_Nurse,1)+CEILING((ServiceTarget)*(Arr_E)/Cap_Nurse,1)+CEILING((ServiceTarget)*(Arr_N)/Cap_Nurse,1)),Avail_Nurse)))*Cap_Nurse+(MAX(0,((CEILING((ServiceTarget)*(Arr_M)/Cap_Tech,1)+CEILING((ServiceTarget)*(Arr_E)/Cap_Tech,1)+CEILING((ServiceTarget)*(Arr_N)/Cap_Tech,1)))-Avail_Tech-(0.35)*MIN((CEILING((ServiceTarget)*(Arr_M)/Cap_Tech,1)+CEILING((ServiceTarget)*(Arr_E)/Cap_Tech,1)+CEILING((ServiceTarget)*(Arr_N)/Cap_Tech,1)),Avail_Tech)))*Cap_Tech+(MAX(0,(ServiceTarget)*Arr_M-(BedsAdded+BedsCurrent)*ShiftHours/BedHr_M)+MAX(0,(ServiceTarget)*Arr_E-(BedsAdded+BedsCurrent)*ShiftHours/BedHr_E)+MAX(0,(ServiceTarget)*Arr_N-(BedsAdded+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f>
        <v>24.200000000000003</v>
      </c>
      <c r="E19" s="33">
        <f>B19-B20</f>
        <v>0</v>
      </c>
    </row>
    <row r="20" spans="1:5" x14ac:dyDescent="0.25">
      <c r="A20" s="34" t="s">
        <v>173</v>
      </c>
      <c r="B20" s="35">
        <f>((MIN((CEILING((ServiceTarget)*(Arr_M*(1+0.5*Acuity_M))/Cap_Doc,1)+CEILING((ServiceTarget)*(Arr_E*(1+0.5*Acuity_E))/Cap_Doc,1)+CEILING((ServiceTarget)*(Arr_N*(1+0.5*Acuity_N))/Cap_Doc,1)),Avail_Doc))*RegCost_Doc+(MIN(MAX((CEILING((ServiceTarget)*(Arr_M*(1+0.5*Acuity_M))/Cap_Doc,1)+CEILING((ServiceTarget)*(Arr_E*(1+0.5*Acuity_E))/Cap_Doc,1)+CEILING((ServiceTarget)*(Arr_N*(1+0.5*Acuity_N))/Cap_Doc,1))-Avail_Doc,0),(OTCapPct)*MIN((CEILING((ServiceTarget)*(Arr_M*(1+0.5*Acuity_M))/Cap_Doc,1)+CEILING((ServiceTarget)*(Arr_E*(1+0.5*Acuity_E))/Cap_Doc,1)+CEILING((ServiceTarget)*(Arr_N*(1+0.5*Acuity_N))/Cap_Doc,1)),Avail_Doc)))*OTCost_Doc+(MIN((CEILING((ServiceTarget)*(Arr_M)/Cap_Nurse,1)+CEILING((ServiceTarget)*(Arr_E)/Cap_Nurse,1)+CEILING((ServiceTarget)*(Arr_N)/Cap_Nurse,1)),Avail_Nurse))*RegCost_Nurse+(MIN(MAX((CEILING((ServiceTarget)*(Arr_M)/Cap_Nurse,1)+CEILING((ServiceTarget)*(Arr_E)/Cap_Nurse,1)+CEILING((ServiceTarget)*(Arr_N)/Cap_Nurse,1))-Avail_Nurse,0),(OTCapPct)*MIN((CEILING((ServiceTarget)*(Arr_M)/Cap_Nurse,1)+CEILING((ServiceTarget)*(Arr_E)/Cap_Nurse,1)+CEILING((ServiceTarget)*(Arr_N)/Cap_Nurse,1)),Avail_Nurse)))*OTCost_Nurse+(MIN((CEILING((ServiceTarget)*(Arr_M)/Cap_Tech,1)+CEILING((ServiceTarget)*(Arr_E)/Cap_Tech,1)+CEILING((ServiceTarget)*(Arr_N)/Cap_Tech,1)),Avail_Tech))*RegCost_Tech+(MIN(MAX((CEILING((ServiceTarget)*(Arr_M)/Cap_Tech,1)+CEILING((ServiceTarget)*(Arr_E)/Cap_Tech,1)+CEILING((ServiceTarget)*(Arr_N)/Cap_Tech,1))-Avail_Tech,0),(OTCapPct)*MIN((CEILING((ServiceTarget)*(Arr_M)/Cap_Tech,1)+CEILING((ServiceTarget)*(Arr_E)/Cap_Tech,1)+CEILING((ServiceTarget)*(Arr_N)/Cap_Tech,1)),Avail_Tech)))*OTCost_Tech)+((BedsAdded)*BedCostPerBed+(ImgExpOn)*ImgExpCost+(LabExpOn)*LabExpCost)+(((MAX(0,((CEILING((ServiceTarget)*(Arr_M*(1+0.5*Acuity_M))/Cap_Doc,1)+CEILING((ServiceTarget)*(Arr_E*(1+0.5*Acuity_E))/Cap_Doc,1)+CEILING((ServiceTarget)*(Arr_N*(1+0.5*Acuity_N))/Cap_Doc,1)))-Avail_Doc-(OTCapPct)*MIN((CEILING((ServiceTarget)*(Arr_M*(1+0.5*Acuity_M))/Cap_Doc,1)+CEILING((ServiceTarget)*(Arr_E*(1+0.5*Acuity_E))/Cap_Doc,1)+CEILING((ServiceTarget)*(Arr_N*(1+0.5*Acuity_N))/Cap_Doc,1)),Avail_Doc)))*Cap_Doc+(MAX(0,((CEILING((ServiceTarget)*(Arr_M)/Cap_Nurse,1)+CEILING((ServiceTarget)*(Arr_E)/Cap_Nurse,1)+CEILING((ServiceTarget)*(Arr_N)/Cap_Nurse,1)))-Avail_Nurse-(OTCapPct)*MIN((CEILING((ServiceTarget)*(Arr_M)/Cap_Nurse,1)+CEILING((ServiceTarget)*(Arr_E)/Cap_Nurse,1)+CEILING((ServiceTarget)*(Arr_N)/Cap_Nurse,1)),Avail_Nurse)))*Cap_Nurse+(MAX(0,((CEILING((ServiceTarget)*(Arr_M)/Cap_Tech,1)+CEILING((ServiceTarget)*(Arr_E)/Cap_Tech,1)+CEILING((ServiceTarget)*(Arr_N)/Cap_Tech,1)))-Avail_Tech-(OTCapPct)*MIN((CEILING((ServiceTarget)*(Arr_M)/Cap_Tech,1)+CEILING((ServiceTarget)*(Arr_E)/Cap_Tech,1)+CEILING((ServiceTarget)*(Arr_N)/Cap_Tech,1)),Avail_Tech)))*Cap_Tech+(MAX(0,(ServiceTarget)*Arr_M-(BedsAdded+BedsCurrent)*ShiftHours/BedHr_M)+MAX(0,(ServiceTarget)*Arr_E-(BedsAdded+BedsCurrent)*ShiftHours/BedHr_E)+MAX(0,(ServiceTarget)*Arr_N-(BedsAdded+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PenUncovered*(1-DivertShare)+PenDiverted*DivertShare))</f>
        <v>466610</v>
      </c>
      <c r="C20" s="36">
        <f>1-((MAX(0,((CEILING((ServiceTarget)*(Arr_M*(1+0.5*Acuity_M))/Cap_Doc,1)+CEILING((ServiceTarget)*(Arr_E*(1+0.5*Acuity_E))/Cap_Doc,1)+CEILING((ServiceTarget)*(Arr_N*(1+0.5*Acuity_N))/Cap_Doc,1)))-Avail_Doc-(OTCapPct)*MIN((CEILING((ServiceTarget)*(Arr_M*(1+0.5*Acuity_M))/Cap_Doc,1)+CEILING((ServiceTarget)*(Arr_E*(1+0.5*Acuity_E))/Cap_Doc,1)+CEILING((ServiceTarget)*(Arr_N*(1+0.5*Acuity_N))/Cap_Doc,1)),Avail_Doc)))*Cap_Doc+(MAX(0,((CEILING((ServiceTarget)*(Arr_M)/Cap_Nurse,1)+CEILING((ServiceTarget)*(Arr_E)/Cap_Nurse,1)+CEILING((ServiceTarget)*(Arr_N)/Cap_Nurse,1)))-Avail_Nurse-(OTCapPct)*MIN((CEILING((ServiceTarget)*(Arr_M)/Cap_Nurse,1)+CEILING((ServiceTarget)*(Arr_E)/Cap_Nurse,1)+CEILING((ServiceTarget)*(Arr_N)/Cap_Nurse,1)),Avail_Nurse)))*Cap_Nurse+(MAX(0,((CEILING((ServiceTarget)*(Arr_M)/Cap_Tech,1)+CEILING((ServiceTarget)*(Arr_E)/Cap_Tech,1)+CEILING((ServiceTarget)*(Arr_N)/Cap_Tech,1)))-Avail_Tech-(OTCapPct)*MIN((CEILING((ServiceTarget)*(Arr_M)/Cap_Tech,1)+CEILING((ServiceTarget)*(Arr_E)/Cap_Tech,1)+CEILING((ServiceTarget)*(Arr_N)/Cap_Tech,1)),Avail_Tech)))*Cap_Tech+(MAX(0,(ServiceTarget)*Arr_M-(BedsAdded+BedsCurrent)*ShiftHours/BedHr_M)+MAX(0,(ServiceTarget)*Arr_E-(BedsAdded+BedsCurrent)*ShiftHours/BedHr_E)+MAX(0,(ServiceTarget)*Arr_N-(BedsAdded+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Arr_M+Arr_E+Arr_N)</f>
        <v>0.91037037037037039</v>
      </c>
      <c r="D20" s="37">
        <f>(MAX(0,((CEILING((ServiceTarget)*(Arr_M*(1+0.5*Acuity_M))/Cap_Doc,1)+CEILING((ServiceTarget)*(Arr_E*(1+0.5*Acuity_E))/Cap_Doc,1)+CEILING((ServiceTarget)*(Arr_N*(1+0.5*Acuity_N))/Cap_Doc,1)))-Avail_Doc-(OTCapPct)*MIN((CEILING((ServiceTarget)*(Arr_M*(1+0.5*Acuity_M))/Cap_Doc,1)+CEILING((ServiceTarget)*(Arr_E*(1+0.5*Acuity_E))/Cap_Doc,1)+CEILING((ServiceTarget)*(Arr_N*(1+0.5*Acuity_N))/Cap_Doc,1)),Avail_Doc)))*Cap_Doc+(MAX(0,((CEILING((ServiceTarget)*(Arr_M)/Cap_Nurse,1)+CEILING((ServiceTarget)*(Arr_E)/Cap_Nurse,1)+CEILING((ServiceTarget)*(Arr_N)/Cap_Nurse,1)))-Avail_Nurse-(OTCapPct)*MIN((CEILING((ServiceTarget)*(Arr_M)/Cap_Nurse,1)+CEILING((ServiceTarget)*(Arr_E)/Cap_Nurse,1)+CEILING((ServiceTarget)*(Arr_N)/Cap_Nurse,1)),Avail_Nurse)))*Cap_Nurse+(MAX(0,((CEILING((ServiceTarget)*(Arr_M)/Cap_Tech,1)+CEILING((ServiceTarget)*(Arr_E)/Cap_Tech,1)+CEILING((ServiceTarget)*(Arr_N)/Cap_Tech,1)))-Avail_Tech-(OTCapPct)*MIN((CEILING((ServiceTarget)*(Arr_M)/Cap_Tech,1)+CEILING((ServiceTarget)*(Arr_E)/Cap_Tech,1)+CEILING((ServiceTarget)*(Arr_N)/Cap_Tech,1)),Avail_Tech)))*Cap_Tech+(MAX(0,(ServiceTarget)*Arr_M-(BedsAdded+BedsCurrent)*ShiftHours/BedHr_M)+MAX(0,(ServiceTarget)*Arr_E-(BedsAdded+BedsCurrent)*ShiftHours/BedHr_E)+MAX(0,(ServiceTarget)*Arr_N-(BedsAdded+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f>
        <v>24.200000000000003</v>
      </c>
    </row>
    <row r="22" spans="1:5" ht="15.75" x14ac:dyDescent="0.25">
      <c r="A22" s="5" t="s">
        <v>176</v>
      </c>
      <c r="B22" s="6"/>
      <c r="C22" s="6"/>
      <c r="D22" s="6"/>
      <c r="E22" s="6"/>
    </row>
    <row r="23" spans="1:5" ht="45" x14ac:dyDescent="0.25">
      <c r="A23" s="27" t="s">
        <v>177</v>
      </c>
      <c r="B23" s="27" t="s">
        <v>178</v>
      </c>
      <c r="C23" s="27" t="s">
        <v>179</v>
      </c>
      <c r="D23" s="27" t="s">
        <v>180</v>
      </c>
    </row>
    <row r="24" spans="1:5" x14ac:dyDescent="0.25">
      <c r="A24" s="19">
        <v>4500</v>
      </c>
      <c r="B24" s="19">
        <f>((MIN((CEILING((ServiceTarget)*(Arr_M*(1+0.5*Acuity_M))/Cap_Doc,1)+CEILING((ServiceTarget)*(Arr_E*(1+0.5*Acuity_E))/Cap_Doc,1)+CEILING((ServiceTarget)*(Arr_N*(1+0.5*Acuity_N))/Cap_Doc,1)),Avail_Doc))*RegCost_Doc+(MIN(MAX((CEILING((ServiceTarget)*(Arr_M*(1+0.5*Acuity_M))/Cap_Doc,1)+CEILING((ServiceTarget)*(Arr_E*(1+0.5*Acuity_E))/Cap_Doc,1)+CEILING((ServiceTarget)*(Arr_N*(1+0.5*Acuity_N))/Cap_Doc,1))-Avail_Doc,0),(OTCapPct)*MIN((CEILING((ServiceTarget)*(Arr_M*(1+0.5*Acuity_M))/Cap_Doc,1)+CEILING((ServiceTarget)*(Arr_E*(1+0.5*Acuity_E))/Cap_Doc,1)+CEILING((ServiceTarget)*(Arr_N*(1+0.5*Acuity_N))/Cap_Doc,1)),Avail_Doc)))*OTCost_Doc+(MIN((CEILING((ServiceTarget)*(Arr_M)/Cap_Nurse,1)+CEILING((ServiceTarget)*(Arr_E)/Cap_Nurse,1)+CEILING((ServiceTarget)*(Arr_N)/Cap_Nurse,1)),Avail_Nurse))*RegCost_Nurse+(MIN(MAX((CEILING((ServiceTarget)*(Arr_M)/Cap_Nurse,1)+CEILING((ServiceTarget)*(Arr_E)/Cap_Nurse,1)+CEILING((ServiceTarget)*(Arr_N)/Cap_Nurse,1))-Avail_Nurse,0),(OTCapPct)*MIN((CEILING((ServiceTarget)*(Arr_M)/Cap_Nurse,1)+CEILING((ServiceTarget)*(Arr_E)/Cap_Nurse,1)+CEILING((ServiceTarget)*(Arr_N)/Cap_Nurse,1)),Avail_Nurse)))*OTCost_Nurse+(MIN((CEILING((ServiceTarget)*(Arr_M)/Cap_Tech,1)+CEILING((ServiceTarget)*(Arr_E)/Cap_Tech,1)+CEILING((ServiceTarget)*(Arr_N)/Cap_Tech,1)),Avail_Tech))*RegCost_Tech+(MIN(MAX((CEILING((ServiceTarget)*(Arr_M)/Cap_Tech,1)+CEILING((ServiceTarget)*(Arr_E)/Cap_Tech,1)+CEILING((ServiceTarget)*(Arr_N)/Cap_Tech,1))-Avail_Tech,0),(OTCapPct)*MIN((CEILING((ServiceTarget)*(Arr_M)/Cap_Tech,1)+CEILING((ServiceTarget)*(Arr_E)/Cap_Tech,1)+CEILING((ServiceTarget)*(Arr_N)/Cap_Tech,1)),Avail_Tech)))*OTCost_Tech)+((0)*BedCostPerBed+(ImgExpOn)*ImgExpCost+(LabExpOn)*LabExpCost)+(((MAX(0,((CEILING((ServiceTarget)*(Arr_M*(1+0.5*Acuity_M))/Cap_Doc,1)+CEILING((ServiceTarget)*(Arr_E*(1+0.5*Acuity_E))/Cap_Doc,1)+CEILING((ServiceTarget)*(Arr_N*(1+0.5*Acuity_N))/Cap_Doc,1)))-Avail_Doc-(OTCapPct)*MIN((CEILING((ServiceTarget)*(Arr_M*(1+0.5*Acuity_M))/Cap_Doc,1)+CEILING((ServiceTarget)*(Arr_E*(1+0.5*Acuity_E))/Cap_Doc,1)+CEILING((ServiceTarget)*(Arr_N*(1+0.5*Acuity_N))/Cap_Doc,1)),Avail_Doc)))*Cap_Doc+(MAX(0,((CEILING((ServiceTarget)*(Arr_M)/Cap_Nurse,1)+CEILING((ServiceTarget)*(Arr_E)/Cap_Nurse,1)+CEILING((ServiceTarget)*(Arr_N)/Cap_Nurse,1)))-Avail_Nurse-(OTCapPct)*MIN((CEILING((ServiceTarget)*(Arr_M)/Cap_Nurse,1)+CEILING((ServiceTarget)*(Arr_E)/Cap_Nurse,1)+CEILING((ServiceTarget)*(Arr_N)/Cap_Nurse,1)),Avail_Nurse)))*Cap_Nurse+(MAX(0,((CEILING((ServiceTarget)*(Arr_M)/Cap_Tech,1)+CEILING((ServiceTarget)*(Arr_E)/Cap_Tech,1)+CEILING((ServiceTarget)*(Arr_N)/Cap_Tech,1)))-Avail_Tech-(OTCapPct)*MIN((CEILING((ServiceTarget)*(Arr_M)/Cap_Tech,1)+CEILING((ServiceTarget)*(Arr_E)/Cap_Tech,1)+CEILING((ServiceTarget)*(Arr_N)/Cap_Tech,1)),Avail_Tech)))*Cap_Tech+(MAX(0,(ServiceTarget)*Arr_M-(0+BedsCurrent)*ShiftHours/BedHr_M)+MAX(0,(ServiceTarget)*Arr_E-(0+BedsCurrent)*ShiftHours/BedHr_E)+MAX(0,(ServiceTarget)*Arr_N-(0+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(4500*(1-DivertShare)+PenDiverted*DivertShare))</f>
        <v>441200</v>
      </c>
      <c r="C24" s="19">
        <f>((MIN((CEILING((ServiceTarget)*(Arr_M*(1+0.5*Acuity_M))/Cap_Doc,1)+CEILING((ServiceTarget)*(Arr_E*(1+0.5*Acuity_E))/Cap_Doc,1)+CEILING((ServiceTarget)*(Arr_N*(1+0.5*Acuity_N))/Cap_Doc,1)),Avail_Doc))*RegCost_Doc+(MIN(MAX((CEILING((ServiceTarget)*(Arr_M*(1+0.5*Acuity_M))/Cap_Doc,1)+CEILING((ServiceTarget)*(Arr_E*(1+0.5*Acuity_E))/Cap_Doc,1)+CEILING((ServiceTarget)*(Arr_N*(1+0.5*Acuity_N))/Cap_Doc,1))-Avail_Doc,0),(OTCapPct)*MIN((CEILING((ServiceTarget)*(Arr_M*(1+0.5*Acuity_M))/Cap_Doc,1)+CEILING((ServiceTarget)*(Arr_E*(1+0.5*Acuity_E))/Cap_Doc,1)+CEILING((ServiceTarget)*(Arr_N*(1+0.5*Acuity_N))/Cap_Doc,1)),Avail_Doc)))*OTCost_Doc+(MIN((CEILING((ServiceTarget)*(Arr_M)/Cap_Nurse,1)+CEILING((ServiceTarget)*(Arr_E)/Cap_Nurse,1)+CEILING((ServiceTarget)*(Arr_N)/Cap_Nurse,1)),Avail_Nurse))*RegCost_Nurse+(MIN(MAX((CEILING((ServiceTarget)*(Arr_M)/Cap_Nurse,1)+CEILING((ServiceTarget)*(Arr_E)/Cap_Nurse,1)+CEILING((ServiceTarget)*(Arr_N)/Cap_Nurse,1))-Avail_Nurse,0),(OTCapPct)*MIN((CEILING((ServiceTarget)*(Arr_M)/Cap_Nurse,1)+CEILING((ServiceTarget)*(Arr_E)/Cap_Nurse,1)+CEILING((ServiceTarget)*(Arr_N)/Cap_Nurse,1)),Avail_Nurse)))*OTCost_Nurse+(MIN((CEILING((ServiceTarget)*(Arr_M)/Cap_Tech,1)+CEILING((ServiceTarget)*(Arr_E)/Cap_Tech,1)+CEILING((ServiceTarget)*(Arr_N)/Cap_Tech,1)),Avail_Tech))*RegCost_Tech+(MIN(MAX((CEILING((ServiceTarget)*(Arr_M)/Cap_Tech,1)+CEILING((ServiceTarget)*(Arr_E)/Cap_Tech,1)+CEILING((ServiceTarget)*(Arr_N)/Cap_Tech,1))-Avail_Tech,0),(OTCapPct)*MIN((CEILING((ServiceTarget)*(Arr_M)/Cap_Tech,1)+CEILING((ServiceTarget)*(Arr_E)/Cap_Tech,1)+CEILING((ServiceTarget)*(Arr_N)/Cap_Tech,1)),Avail_Tech)))*OTCost_Tech)+((10)*BedCostPerBed+(ImgExpOn)*ImgExpCost+(LabExpOn)*LabExpCost)+(((MAX(0,((CEILING((ServiceTarget)*(Arr_M*(1+0.5*Acuity_M))/Cap_Doc,1)+CEILING((ServiceTarget)*(Arr_E*(1+0.5*Acuity_E))/Cap_Doc,1)+CEILING((ServiceTarget)*(Arr_N*(1+0.5*Acuity_N))/Cap_Doc,1)))-Avail_Doc-(OTCapPct)*MIN((CEILING((ServiceTarget)*(Arr_M*(1+0.5*Acuity_M))/Cap_Doc,1)+CEILING((ServiceTarget)*(Arr_E*(1+0.5*Acuity_E))/Cap_Doc,1)+CEILING((ServiceTarget)*(Arr_N*(1+0.5*Acuity_N))/Cap_Doc,1)),Avail_Doc)))*Cap_Doc+(MAX(0,((CEILING((ServiceTarget)*(Arr_M)/Cap_Nurse,1)+CEILING((ServiceTarget)*(Arr_E)/Cap_Nurse,1)+CEILING((ServiceTarget)*(Arr_N)/Cap_Nurse,1)))-Avail_Nurse-(OTCapPct)*MIN((CEILING((ServiceTarget)*(Arr_M)/Cap_Nurse,1)+CEILING((ServiceTarget)*(Arr_E)/Cap_Nurse,1)+CEILING((ServiceTarget)*(Arr_N)/Cap_Nurse,1)),Avail_Nurse)))*Cap_Nurse+(MAX(0,((CEILING((ServiceTarget)*(Arr_M)/Cap_Tech,1)+CEILING((ServiceTarget)*(Arr_E)/Cap_Tech,1)+CEILING((ServiceTarget)*(Arr_N)/Cap_Tech,1)))-Avail_Tech-(OTCapPct)*MIN((CEILING((ServiceTarget)*(Arr_M)/Cap_Tech,1)+CEILING((ServiceTarget)*(Arr_E)/Cap_Tech,1)+CEILING((ServiceTarget)*(Arr_N)/Cap_Tech,1)),Avail_Tech)))*Cap_Tech+(MAX(0,(ServiceTarget)*Arr_M-(10+BedsCurrent)*ShiftHours/BedHr_M)+MAX(0,(ServiceTarget)*Arr_E-(10+BedsCurrent)*ShiftHours/BedHr_E)+MAX(0,(ServiceTarget)*Arr_N-(10+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(4500*(1-DivertShare)+PenDiverted*DivertShare))</f>
        <v>425000</v>
      </c>
      <c r="D24" s="33">
        <f>B24-C24</f>
        <v>16200</v>
      </c>
    </row>
    <row r="25" spans="1:5" x14ac:dyDescent="0.25">
      <c r="A25" s="19">
        <v>6000</v>
      </c>
      <c r="B25" s="19">
        <f>((MIN((CEILING((ServiceTarget)*(Arr_M*(1+0.5*Acuity_M))/Cap_Doc,1)+CEILING((ServiceTarget)*(Arr_E*(1+0.5*Acuity_E))/Cap_Doc,1)+CEILING((ServiceTarget)*(Arr_N*(1+0.5*Acuity_N))/Cap_Doc,1)),Avail_Doc))*RegCost_Doc+(MIN(MAX((CEILING((ServiceTarget)*(Arr_M*(1+0.5*Acuity_M))/Cap_Doc,1)+CEILING((ServiceTarget)*(Arr_E*(1+0.5*Acuity_E))/Cap_Doc,1)+CEILING((ServiceTarget)*(Arr_N*(1+0.5*Acuity_N))/Cap_Doc,1))-Avail_Doc,0),(OTCapPct)*MIN((CEILING((ServiceTarget)*(Arr_M*(1+0.5*Acuity_M))/Cap_Doc,1)+CEILING((ServiceTarget)*(Arr_E*(1+0.5*Acuity_E))/Cap_Doc,1)+CEILING((ServiceTarget)*(Arr_N*(1+0.5*Acuity_N))/Cap_Doc,1)),Avail_Doc)))*OTCost_Doc+(MIN((CEILING((ServiceTarget)*(Arr_M)/Cap_Nurse,1)+CEILING((ServiceTarget)*(Arr_E)/Cap_Nurse,1)+CEILING((ServiceTarget)*(Arr_N)/Cap_Nurse,1)),Avail_Nurse))*RegCost_Nurse+(MIN(MAX((CEILING((ServiceTarget)*(Arr_M)/Cap_Nurse,1)+CEILING((ServiceTarget)*(Arr_E)/Cap_Nurse,1)+CEILING((ServiceTarget)*(Arr_N)/Cap_Nurse,1))-Avail_Nurse,0),(OTCapPct)*MIN((CEILING((ServiceTarget)*(Arr_M)/Cap_Nurse,1)+CEILING((ServiceTarget)*(Arr_E)/Cap_Nurse,1)+CEILING((ServiceTarget)*(Arr_N)/Cap_Nurse,1)),Avail_Nurse)))*OTCost_Nurse+(MIN((CEILING((ServiceTarget)*(Arr_M)/Cap_Tech,1)+CEILING((ServiceTarget)*(Arr_E)/Cap_Tech,1)+CEILING((ServiceTarget)*(Arr_N)/Cap_Tech,1)),Avail_Tech))*RegCost_Tech+(MIN(MAX((CEILING((ServiceTarget)*(Arr_M)/Cap_Tech,1)+CEILING((ServiceTarget)*(Arr_E)/Cap_Tech,1)+CEILING((ServiceTarget)*(Arr_N)/Cap_Tech,1))-Avail_Tech,0),(OTCapPct)*MIN((CEILING((ServiceTarget)*(Arr_M)/Cap_Tech,1)+CEILING((ServiceTarget)*(Arr_E)/Cap_Tech,1)+CEILING((ServiceTarget)*(Arr_N)/Cap_Tech,1)),Avail_Tech)))*OTCost_Tech)+((0)*BedCostPerBed+(ImgExpOn)*ImgExpCost+(LabExpOn)*LabExpCost)+(((MAX(0,((CEILING((ServiceTarget)*(Arr_M*(1+0.5*Acuity_M))/Cap_Doc,1)+CEILING((ServiceTarget)*(Arr_E*(1+0.5*Acuity_E))/Cap_Doc,1)+CEILING((ServiceTarget)*(Arr_N*(1+0.5*Acuity_N))/Cap_Doc,1)))-Avail_Doc-(OTCapPct)*MIN((CEILING((ServiceTarget)*(Arr_M*(1+0.5*Acuity_M))/Cap_Doc,1)+CEILING((ServiceTarget)*(Arr_E*(1+0.5*Acuity_E))/Cap_Doc,1)+CEILING((ServiceTarget)*(Arr_N*(1+0.5*Acuity_N))/Cap_Doc,1)),Avail_Doc)))*Cap_Doc+(MAX(0,((CEILING((ServiceTarget)*(Arr_M)/Cap_Nurse,1)+CEILING((ServiceTarget)*(Arr_E)/Cap_Nurse,1)+CEILING((ServiceTarget)*(Arr_N)/Cap_Nurse,1)))-Avail_Nurse-(OTCapPct)*MIN((CEILING((ServiceTarget)*(Arr_M)/Cap_Nurse,1)+CEILING((ServiceTarget)*(Arr_E)/Cap_Nurse,1)+CEILING((ServiceTarget)*(Arr_N)/Cap_Nurse,1)),Avail_Nurse)))*Cap_Nurse+(MAX(0,((CEILING((ServiceTarget)*(Arr_M)/Cap_Tech,1)+CEILING((ServiceTarget)*(Arr_E)/Cap_Tech,1)+CEILING((ServiceTarget)*(Arr_N)/Cap_Tech,1)))-Avail_Tech-(OTCapPct)*MIN((CEILING((ServiceTarget)*(Arr_M)/Cap_Tech,1)+CEILING((ServiceTarget)*(Arr_E)/Cap_Tech,1)+CEILING((ServiceTarget)*(Arr_N)/Cap_Tech,1)),Avail_Tech)))*Cap_Tech+(MAX(0,(ServiceTarget)*Arr_M-(0+BedsCurrent)*ShiftHours/BedHr_M)+MAX(0,(ServiceTarget)*Arr_E-(0+BedsCurrent)*ShiftHours/BedHr_E)+MAX(0,(ServiceTarget)*Arr_N-(0+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(6000*(1-DivertShare)+PenDiverted*DivertShare))</f>
        <v>466610</v>
      </c>
      <c r="C25" s="19">
        <f>((MIN((CEILING((ServiceTarget)*(Arr_M*(1+0.5*Acuity_M))/Cap_Doc,1)+CEILING((ServiceTarget)*(Arr_E*(1+0.5*Acuity_E))/Cap_Doc,1)+CEILING((ServiceTarget)*(Arr_N*(1+0.5*Acuity_N))/Cap_Doc,1)),Avail_Doc))*RegCost_Doc+(MIN(MAX((CEILING((ServiceTarget)*(Arr_M*(1+0.5*Acuity_M))/Cap_Doc,1)+CEILING((ServiceTarget)*(Arr_E*(1+0.5*Acuity_E))/Cap_Doc,1)+CEILING((ServiceTarget)*(Arr_N*(1+0.5*Acuity_N))/Cap_Doc,1))-Avail_Doc,0),(OTCapPct)*MIN((CEILING((ServiceTarget)*(Arr_M*(1+0.5*Acuity_M))/Cap_Doc,1)+CEILING((ServiceTarget)*(Arr_E*(1+0.5*Acuity_E))/Cap_Doc,1)+CEILING((ServiceTarget)*(Arr_N*(1+0.5*Acuity_N))/Cap_Doc,1)),Avail_Doc)))*OTCost_Doc+(MIN((CEILING((ServiceTarget)*(Arr_M)/Cap_Nurse,1)+CEILING((ServiceTarget)*(Arr_E)/Cap_Nurse,1)+CEILING((ServiceTarget)*(Arr_N)/Cap_Nurse,1)),Avail_Nurse))*RegCost_Nurse+(MIN(MAX((CEILING((ServiceTarget)*(Arr_M)/Cap_Nurse,1)+CEILING((ServiceTarget)*(Arr_E)/Cap_Nurse,1)+CEILING((ServiceTarget)*(Arr_N)/Cap_Nurse,1))-Avail_Nurse,0),(OTCapPct)*MIN((CEILING((ServiceTarget)*(Arr_M)/Cap_Nurse,1)+CEILING((ServiceTarget)*(Arr_E)/Cap_Nurse,1)+CEILING((ServiceTarget)*(Arr_N)/Cap_Nurse,1)),Avail_Nurse)))*OTCost_Nurse+(MIN((CEILING((ServiceTarget)*(Arr_M)/Cap_Tech,1)+CEILING((ServiceTarget)*(Arr_E)/Cap_Tech,1)+CEILING((ServiceTarget)*(Arr_N)/Cap_Tech,1)),Avail_Tech))*RegCost_Tech+(MIN(MAX((CEILING((ServiceTarget)*(Arr_M)/Cap_Tech,1)+CEILING((ServiceTarget)*(Arr_E)/Cap_Tech,1)+CEILING((ServiceTarget)*(Arr_N)/Cap_Tech,1))-Avail_Tech,0),(OTCapPct)*MIN((CEILING((ServiceTarget)*(Arr_M)/Cap_Tech,1)+CEILING((ServiceTarget)*(Arr_E)/Cap_Tech,1)+CEILING((ServiceTarget)*(Arr_N)/Cap_Tech,1)),Avail_Tech)))*OTCost_Tech)+((10)*BedCostPerBed+(ImgExpOn)*ImgExpCost+(LabExpOn)*LabExpCost)+(((MAX(0,((CEILING((ServiceTarget)*(Arr_M*(1+0.5*Acuity_M))/Cap_Doc,1)+CEILING((ServiceTarget)*(Arr_E*(1+0.5*Acuity_E))/Cap_Doc,1)+CEILING((ServiceTarget)*(Arr_N*(1+0.5*Acuity_N))/Cap_Doc,1)))-Avail_Doc-(OTCapPct)*MIN((CEILING((ServiceTarget)*(Arr_M*(1+0.5*Acuity_M))/Cap_Doc,1)+CEILING((ServiceTarget)*(Arr_E*(1+0.5*Acuity_E))/Cap_Doc,1)+CEILING((ServiceTarget)*(Arr_N*(1+0.5*Acuity_N))/Cap_Doc,1)),Avail_Doc)))*Cap_Doc+(MAX(0,((CEILING((ServiceTarget)*(Arr_M)/Cap_Nurse,1)+CEILING((ServiceTarget)*(Arr_E)/Cap_Nurse,1)+CEILING((ServiceTarget)*(Arr_N)/Cap_Nurse,1)))-Avail_Nurse-(OTCapPct)*MIN((CEILING((ServiceTarget)*(Arr_M)/Cap_Nurse,1)+CEILING((ServiceTarget)*(Arr_E)/Cap_Nurse,1)+CEILING((ServiceTarget)*(Arr_N)/Cap_Nurse,1)),Avail_Nurse)))*Cap_Nurse+(MAX(0,((CEILING((ServiceTarget)*(Arr_M)/Cap_Tech,1)+CEILING((ServiceTarget)*(Arr_E)/Cap_Tech,1)+CEILING((ServiceTarget)*(Arr_N)/Cap_Tech,1)))-Avail_Tech-(OTCapPct)*MIN((CEILING((ServiceTarget)*(Arr_M)/Cap_Tech,1)+CEILING((ServiceTarget)*(Arr_E)/Cap_Tech,1)+CEILING((ServiceTarget)*(Arr_N)/Cap_Tech,1)),Avail_Tech)))*Cap_Tech+(MAX(0,(ServiceTarget)*Arr_M-(10+BedsCurrent)*ShiftHours/BedHr_M)+MAX(0,(ServiceTarget)*Arr_E-(10+BedsCurrent)*ShiftHours/BedHr_E)+MAX(0,(ServiceTarget)*Arr_N-(10+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(6000*(1-DivertShare)+PenDiverted*DivertShare))</f>
        <v>444950</v>
      </c>
      <c r="D25" s="33">
        <f>B25-C25</f>
        <v>21660</v>
      </c>
    </row>
    <row r="26" spans="1:5" x14ac:dyDescent="0.25">
      <c r="A26" s="19">
        <v>7500</v>
      </c>
      <c r="B26" s="19">
        <f>((MIN((CEILING((ServiceTarget)*(Arr_M*(1+0.5*Acuity_M))/Cap_Doc,1)+CEILING((ServiceTarget)*(Arr_E*(1+0.5*Acuity_E))/Cap_Doc,1)+CEILING((ServiceTarget)*(Arr_N*(1+0.5*Acuity_N))/Cap_Doc,1)),Avail_Doc))*RegCost_Doc+(MIN(MAX((CEILING((ServiceTarget)*(Arr_M*(1+0.5*Acuity_M))/Cap_Doc,1)+CEILING((ServiceTarget)*(Arr_E*(1+0.5*Acuity_E))/Cap_Doc,1)+CEILING((ServiceTarget)*(Arr_N*(1+0.5*Acuity_N))/Cap_Doc,1))-Avail_Doc,0),(OTCapPct)*MIN((CEILING((ServiceTarget)*(Arr_M*(1+0.5*Acuity_M))/Cap_Doc,1)+CEILING((ServiceTarget)*(Arr_E*(1+0.5*Acuity_E))/Cap_Doc,1)+CEILING((ServiceTarget)*(Arr_N*(1+0.5*Acuity_N))/Cap_Doc,1)),Avail_Doc)))*OTCost_Doc+(MIN((CEILING((ServiceTarget)*(Arr_M)/Cap_Nurse,1)+CEILING((ServiceTarget)*(Arr_E)/Cap_Nurse,1)+CEILING((ServiceTarget)*(Arr_N)/Cap_Nurse,1)),Avail_Nurse))*RegCost_Nurse+(MIN(MAX((CEILING((ServiceTarget)*(Arr_M)/Cap_Nurse,1)+CEILING((ServiceTarget)*(Arr_E)/Cap_Nurse,1)+CEILING((ServiceTarget)*(Arr_N)/Cap_Nurse,1))-Avail_Nurse,0),(OTCapPct)*MIN((CEILING((ServiceTarget)*(Arr_M)/Cap_Nurse,1)+CEILING((ServiceTarget)*(Arr_E)/Cap_Nurse,1)+CEILING((ServiceTarget)*(Arr_N)/Cap_Nurse,1)),Avail_Nurse)))*OTCost_Nurse+(MIN((CEILING((ServiceTarget)*(Arr_M)/Cap_Tech,1)+CEILING((ServiceTarget)*(Arr_E)/Cap_Tech,1)+CEILING((ServiceTarget)*(Arr_N)/Cap_Tech,1)),Avail_Tech))*RegCost_Tech+(MIN(MAX((CEILING((ServiceTarget)*(Arr_M)/Cap_Tech,1)+CEILING((ServiceTarget)*(Arr_E)/Cap_Tech,1)+CEILING((ServiceTarget)*(Arr_N)/Cap_Tech,1))-Avail_Tech,0),(OTCapPct)*MIN((CEILING((ServiceTarget)*(Arr_M)/Cap_Tech,1)+CEILING((ServiceTarget)*(Arr_E)/Cap_Tech,1)+CEILING((ServiceTarget)*(Arr_N)/Cap_Tech,1)),Avail_Tech)))*OTCost_Tech)+((0)*BedCostPerBed+(ImgExpOn)*ImgExpCost+(LabExpOn)*LabExpCost)+(((MAX(0,((CEILING((ServiceTarget)*(Arr_M*(1+0.5*Acuity_M))/Cap_Doc,1)+CEILING((ServiceTarget)*(Arr_E*(1+0.5*Acuity_E))/Cap_Doc,1)+CEILING((ServiceTarget)*(Arr_N*(1+0.5*Acuity_N))/Cap_Doc,1)))-Avail_Doc-(OTCapPct)*MIN((CEILING((ServiceTarget)*(Arr_M*(1+0.5*Acuity_M))/Cap_Doc,1)+CEILING((ServiceTarget)*(Arr_E*(1+0.5*Acuity_E))/Cap_Doc,1)+CEILING((ServiceTarget)*(Arr_N*(1+0.5*Acuity_N))/Cap_Doc,1)),Avail_Doc)))*Cap_Doc+(MAX(0,((CEILING((ServiceTarget)*(Arr_M)/Cap_Nurse,1)+CEILING((ServiceTarget)*(Arr_E)/Cap_Nurse,1)+CEILING((ServiceTarget)*(Arr_N)/Cap_Nurse,1)))-Avail_Nurse-(OTCapPct)*MIN((CEILING((ServiceTarget)*(Arr_M)/Cap_Nurse,1)+CEILING((ServiceTarget)*(Arr_E)/Cap_Nurse,1)+CEILING((ServiceTarget)*(Arr_N)/Cap_Nurse,1)),Avail_Nurse)))*Cap_Nurse+(MAX(0,((CEILING((ServiceTarget)*(Arr_M)/Cap_Tech,1)+CEILING((ServiceTarget)*(Arr_E)/Cap_Tech,1)+CEILING((ServiceTarget)*(Arr_N)/Cap_Tech,1)))-Avail_Tech-(OTCapPct)*MIN((CEILING((ServiceTarget)*(Arr_M)/Cap_Tech,1)+CEILING((ServiceTarget)*(Arr_E)/Cap_Tech,1)+CEILING((ServiceTarget)*(Arr_N)/Cap_Tech,1)),Avail_Tech)))*Cap_Tech+(MAX(0,(ServiceTarget)*Arr_M-(0+BedsCurrent)*ShiftHours/BedHr_M)+MAX(0,(ServiceTarget)*Arr_E-(0+BedsCurrent)*ShiftHours/BedHr_E)+MAX(0,(ServiceTarget)*Arr_N-(0+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(7500*(1-DivertShare)+PenDiverted*DivertShare))</f>
        <v>492020</v>
      </c>
      <c r="C26" s="19">
        <f>((MIN((CEILING((ServiceTarget)*(Arr_M*(1+0.5*Acuity_M))/Cap_Doc,1)+CEILING((ServiceTarget)*(Arr_E*(1+0.5*Acuity_E))/Cap_Doc,1)+CEILING((ServiceTarget)*(Arr_N*(1+0.5*Acuity_N))/Cap_Doc,1)),Avail_Doc))*RegCost_Doc+(MIN(MAX((CEILING((ServiceTarget)*(Arr_M*(1+0.5*Acuity_M))/Cap_Doc,1)+CEILING((ServiceTarget)*(Arr_E*(1+0.5*Acuity_E))/Cap_Doc,1)+CEILING((ServiceTarget)*(Arr_N*(1+0.5*Acuity_N))/Cap_Doc,1))-Avail_Doc,0),(OTCapPct)*MIN((CEILING((ServiceTarget)*(Arr_M*(1+0.5*Acuity_M))/Cap_Doc,1)+CEILING((ServiceTarget)*(Arr_E*(1+0.5*Acuity_E))/Cap_Doc,1)+CEILING((ServiceTarget)*(Arr_N*(1+0.5*Acuity_N))/Cap_Doc,1)),Avail_Doc)))*OTCost_Doc+(MIN((CEILING((ServiceTarget)*(Arr_M)/Cap_Nurse,1)+CEILING((ServiceTarget)*(Arr_E)/Cap_Nurse,1)+CEILING((ServiceTarget)*(Arr_N)/Cap_Nurse,1)),Avail_Nurse))*RegCost_Nurse+(MIN(MAX((CEILING((ServiceTarget)*(Arr_M)/Cap_Nurse,1)+CEILING((ServiceTarget)*(Arr_E)/Cap_Nurse,1)+CEILING((ServiceTarget)*(Arr_N)/Cap_Nurse,1))-Avail_Nurse,0),(OTCapPct)*MIN((CEILING((ServiceTarget)*(Arr_M)/Cap_Nurse,1)+CEILING((ServiceTarget)*(Arr_E)/Cap_Nurse,1)+CEILING((ServiceTarget)*(Arr_N)/Cap_Nurse,1)),Avail_Nurse)))*OTCost_Nurse+(MIN((CEILING((ServiceTarget)*(Arr_M)/Cap_Tech,1)+CEILING((ServiceTarget)*(Arr_E)/Cap_Tech,1)+CEILING((ServiceTarget)*(Arr_N)/Cap_Tech,1)),Avail_Tech))*RegCost_Tech+(MIN(MAX((CEILING((ServiceTarget)*(Arr_M)/Cap_Tech,1)+CEILING((ServiceTarget)*(Arr_E)/Cap_Tech,1)+CEILING((ServiceTarget)*(Arr_N)/Cap_Tech,1))-Avail_Tech,0),(OTCapPct)*MIN((CEILING((ServiceTarget)*(Arr_M)/Cap_Tech,1)+CEILING((ServiceTarget)*(Arr_E)/Cap_Tech,1)+CEILING((ServiceTarget)*(Arr_N)/Cap_Tech,1)),Avail_Tech)))*OTCost_Tech)+((10)*BedCostPerBed+(ImgExpOn)*ImgExpCost+(LabExpOn)*LabExpCost)+(((MAX(0,((CEILING((ServiceTarget)*(Arr_M*(1+0.5*Acuity_M))/Cap_Doc,1)+CEILING((ServiceTarget)*(Arr_E*(1+0.5*Acuity_E))/Cap_Doc,1)+CEILING((ServiceTarget)*(Arr_N*(1+0.5*Acuity_N))/Cap_Doc,1)))-Avail_Doc-(OTCapPct)*MIN((CEILING((ServiceTarget)*(Arr_M*(1+0.5*Acuity_M))/Cap_Doc,1)+CEILING((ServiceTarget)*(Arr_E*(1+0.5*Acuity_E))/Cap_Doc,1)+CEILING((ServiceTarget)*(Arr_N*(1+0.5*Acuity_N))/Cap_Doc,1)),Avail_Doc)))*Cap_Doc+(MAX(0,((CEILING((ServiceTarget)*(Arr_M)/Cap_Nurse,1)+CEILING((ServiceTarget)*(Arr_E)/Cap_Nurse,1)+CEILING((ServiceTarget)*(Arr_N)/Cap_Nurse,1)))-Avail_Nurse-(OTCapPct)*MIN((CEILING((ServiceTarget)*(Arr_M)/Cap_Nurse,1)+CEILING((ServiceTarget)*(Arr_E)/Cap_Nurse,1)+CEILING((ServiceTarget)*(Arr_N)/Cap_Nurse,1)),Avail_Nurse)))*Cap_Nurse+(MAX(0,((CEILING((ServiceTarget)*(Arr_M)/Cap_Tech,1)+CEILING((ServiceTarget)*(Arr_E)/Cap_Tech,1)+CEILING((ServiceTarget)*(Arr_N)/Cap_Tech,1)))-Avail_Tech-(OTCapPct)*MIN((CEILING((ServiceTarget)*(Arr_M)/Cap_Tech,1)+CEILING((ServiceTarget)*(Arr_E)/Cap_Tech,1)+CEILING((ServiceTarget)*(Arr_N)/Cap_Tech,1)),Avail_Tech)))*Cap_Tech+(MAX(0,(ServiceTarget)*Arr_M-(10+BedsCurrent)*ShiftHours/BedHr_M)+MAX(0,(ServiceTarget)*Arr_E-(10+BedsCurrent)*ShiftHours/BedHr_E)+MAX(0,(ServiceTarget)*Arr_N-(10+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(7500*(1-DivertShare)+PenDiverted*DivertShare))</f>
        <v>464900</v>
      </c>
      <c r="D26" s="33">
        <f>B26-C26</f>
        <v>27120</v>
      </c>
    </row>
    <row r="27" spans="1:5" x14ac:dyDescent="0.25">
      <c r="A27" s="19">
        <v>9000</v>
      </c>
      <c r="B27" s="19">
        <f>((MIN((CEILING((ServiceTarget)*(Arr_M*(1+0.5*Acuity_M))/Cap_Doc,1)+CEILING((ServiceTarget)*(Arr_E*(1+0.5*Acuity_E))/Cap_Doc,1)+CEILING((ServiceTarget)*(Arr_N*(1+0.5*Acuity_N))/Cap_Doc,1)),Avail_Doc))*RegCost_Doc+(MIN(MAX((CEILING((ServiceTarget)*(Arr_M*(1+0.5*Acuity_M))/Cap_Doc,1)+CEILING((ServiceTarget)*(Arr_E*(1+0.5*Acuity_E))/Cap_Doc,1)+CEILING((ServiceTarget)*(Arr_N*(1+0.5*Acuity_N))/Cap_Doc,1))-Avail_Doc,0),(OTCapPct)*MIN((CEILING((ServiceTarget)*(Arr_M*(1+0.5*Acuity_M))/Cap_Doc,1)+CEILING((ServiceTarget)*(Arr_E*(1+0.5*Acuity_E))/Cap_Doc,1)+CEILING((ServiceTarget)*(Arr_N*(1+0.5*Acuity_N))/Cap_Doc,1)),Avail_Doc)))*OTCost_Doc+(MIN((CEILING((ServiceTarget)*(Arr_M)/Cap_Nurse,1)+CEILING((ServiceTarget)*(Arr_E)/Cap_Nurse,1)+CEILING((ServiceTarget)*(Arr_N)/Cap_Nurse,1)),Avail_Nurse))*RegCost_Nurse+(MIN(MAX((CEILING((ServiceTarget)*(Arr_M)/Cap_Nurse,1)+CEILING((ServiceTarget)*(Arr_E)/Cap_Nurse,1)+CEILING((ServiceTarget)*(Arr_N)/Cap_Nurse,1))-Avail_Nurse,0),(OTCapPct)*MIN((CEILING((ServiceTarget)*(Arr_M)/Cap_Nurse,1)+CEILING((ServiceTarget)*(Arr_E)/Cap_Nurse,1)+CEILING((ServiceTarget)*(Arr_N)/Cap_Nurse,1)),Avail_Nurse)))*OTCost_Nurse+(MIN((CEILING((ServiceTarget)*(Arr_M)/Cap_Tech,1)+CEILING((ServiceTarget)*(Arr_E)/Cap_Tech,1)+CEILING((ServiceTarget)*(Arr_N)/Cap_Tech,1)),Avail_Tech))*RegCost_Tech+(MIN(MAX((CEILING((ServiceTarget)*(Arr_M)/Cap_Tech,1)+CEILING((ServiceTarget)*(Arr_E)/Cap_Tech,1)+CEILING((ServiceTarget)*(Arr_N)/Cap_Tech,1))-Avail_Tech,0),(OTCapPct)*MIN((CEILING((ServiceTarget)*(Arr_M)/Cap_Tech,1)+CEILING((ServiceTarget)*(Arr_E)/Cap_Tech,1)+CEILING((ServiceTarget)*(Arr_N)/Cap_Tech,1)),Avail_Tech)))*OTCost_Tech)+((0)*BedCostPerBed+(ImgExpOn)*ImgExpCost+(LabExpOn)*LabExpCost)+(((MAX(0,((CEILING((ServiceTarget)*(Arr_M*(1+0.5*Acuity_M))/Cap_Doc,1)+CEILING((ServiceTarget)*(Arr_E*(1+0.5*Acuity_E))/Cap_Doc,1)+CEILING((ServiceTarget)*(Arr_N*(1+0.5*Acuity_N))/Cap_Doc,1)))-Avail_Doc-(OTCapPct)*MIN((CEILING((ServiceTarget)*(Arr_M*(1+0.5*Acuity_M))/Cap_Doc,1)+CEILING((ServiceTarget)*(Arr_E*(1+0.5*Acuity_E))/Cap_Doc,1)+CEILING((ServiceTarget)*(Arr_N*(1+0.5*Acuity_N))/Cap_Doc,1)),Avail_Doc)))*Cap_Doc+(MAX(0,((CEILING((ServiceTarget)*(Arr_M)/Cap_Nurse,1)+CEILING((ServiceTarget)*(Arr_E)/Cap_Nurse,1)+CEILING((ServiceTarget)*(Arr_N)/Cap_Nurse,1)))-Avail_Nurse-(OTCapPct)*MIN((CEILING((ServiceTarget)*(Arr_M)/Cap_Nurse,1)+CEILING((ServiceTarget)*(Arr_E)/Cap_Nurse,1)+CEILING((ServiceTarget)*(Arr_N)/Cap_Nurse,1)),Avail_Nurse)))*Cap_Nurse+(MAX(0,((CEILING((ServiceTarget)*(Arr_M)/Cap_Tech,1)+CEILING((ServiceTarget)*(Arr_E)/Cap_Tech,1)+CEILING((ServiceTarget)*(Arr_N)/Cap_Tech,1)))-Avail_Tech-(OTCapPct)*MIN((CEILING((ServiceTarget)*(Arr_M)/Cap_Tech,1)+CEILING((ServiceTarget)*(Arr_E)/Cap_Tech,1)+CEILING((ServiceTarget)*(Arr_N)/Cap_Tech,1)),Avail_Tech)))*Cap_Tech+(MAX(0,(ServiceTarget)*Arr_M-(0+BedsCurrent)*ShiftHours/BedHr_M)+MAX(0,(ServiceTarget)*Arr_E-(0+BedsCurrent)*ShiftHours/BedHr_E)+MAX(0,(ServiceTarget)*Arr_N-(0+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(9000*(1-DivertShare)+PenDiverted*DivertShare))</f>
        <v>517430</v>
      </c>
      <c r="C27" s="19">
        <f>((MIN((CEILING((ServiceTarget)*(Arr_M*(1+0.5*Acuity_M))/Cap_Doc,1)+CEILING((ServiceTarget)*(Arr_E*(1+0.5*Acuity_E))/Cap_Doc,1)+CEILING((ServiceTarget)*(Arr_N*(1+0.5*Acuity_N))/Cap_Doc,1)),Avail_Doc))*RegCost_Doc+(MIN(MAX((CEILING((ServiceTarget)*(Arr_M*(1+0.5*Acuity_M))/Cap_Doc,1)+CEILING((ServiceTarget)*(Arr_E*(1+0.5*Acuity_E))/Cap_Doc,1)+CEILING((ServiceTarget)*(Arr_N*(1+0.5*Acuity_N))/Cap_Doc,1))-Avail_Doc,0),(OTCapPct)*MIN((CEILING((ServiceTarget)*(Arr_M*(1+0.5*Acuity_M))/Cap_Doc,1)+CEILING((ServiceTarget)*(Arr_E*(1+0.5*Acuity_E))/Cap_Doc,1)+CEILING((ServiceTarget)*(Arr_N*(1+0.5*Acuity_N))/Cap_Doc,1)),Avail_Doc)))*OTCost_Doc+(MIN((CEILING((ServiceTarget)*(Arr_M)/Cap_Nurse,1)+CEILING((ServiceTarget)*(Arr_E)/Cap_Nurse,1)+CEILING((ServiceTarget)*(Arr_N)/Cap_Nurse,1)),Avail_Nurse))*RegCost_Nurse+(MIN(MAX((CEILING((ServiceTarget)*(Arr_M)/Cap_Nurse,1)+CEILING((ServiceTarget)*(Arr_E)/Cap_Nurse,1)+CEILING((ServiceTarget)*(Arr_N)/Cap_Nurse,1))-Avail_Nurse,0),(OTCapPct)*MIN((CEILING((ServiceTarget)*(Arr_M)/Cap_Nurse,1)+CEILING((ServiceTarget)*(Arr_E)/Cap_Nurse,1)+CEILING((ServiceTarget)*(Arr_N)/Cap_Nurse,1)),Avail_Nurse)))*OTCost_Nurse+(MIN((CEILING((ServiceTarget)*(Arr_M)/Cap_Tech,1)+CEILING((ServiceTarget)*(Arr_E)/Cap_Tech,1)+CEILING((ServiceTarget)*(Arr_N)/Cap_Tech,1)),Avail_Tech))*RegCost_Tech+(MIN(MAX((CEILING((ServiceTarget)*(Arr_M)/Cap_Tech,1)+CEILING((ServiceTarget)*(Arr_E)/Cap_Tech,1)+CEILING((ServiceTarget)*(Arr_N)/Cap_Tech,1))-Avail_Tech,0),(OTCapPct)*MIN((CEILING((ServiceTarget)*(Arr_M)/Cap_Tech,1)+CEILING((ServiceTarget)*(Arr_E)/Cap_Tech,1)+CEILING((ServiceTarget)*(Arr_N)/Cap_Tech,1)),Avail_Tech)))*OTCost_Tech)+((10)*BedCostPerBed+(ImgExpOn)*ImgExpCost+(LabExpOn)*LabExpCost)+(((MAX(0,((CEILING((ServiceTarget)*(Arr_M*(1+0.5*Acuity_M))/Cap_Doc,1)+CEILING((ServiceTarget)*(Arr_E*(1+0.5*Acuity_E))/Cap_Doc,1)+CEILING((ServiceTarget)*(Arr_N*(1+0.5*Acuity_N))/Cap_Doc,1)))-Avail_Doc-(OTCapPct)*MIN((CEILING((ServiceTarget)*(Arr_M*(1+0.5*Acuity_M))/Cap_Doc,1)+CEILING((ServiceTarget)*(Arr_E*(1+0.5*Acuity_E))/Cap_Doc,1)+CEILING((ServiceTarget)*(Arr_N*(1+0.5*Acuity_N))/Cap_Doc,1)),Avail_Doc)))*Cap_Doc+(MAX(0,((CEILING((ServiceTarget)*(Arr_M)/Cap_Nurse,1)+CEILING((ServiceTarget)*(Arr_E)/Cap_Nurse,1)+CEILING((ServiceTarget)*(Arr_N)/Cap_Nurse,1)))-Avail_Nurse-(OTCapPct)*MIN((CEILING((ServiceTarget)*(Arr_M)/Cap_Nurse,1)+CEILING((ServiceTarget)*(Arr_E)/Cap_Nurse,1)+CEILING((ServiceTarget)*(Arr_N)/Cap_Nurse,1)),Avail_Nurse)))*Cap_Nurse+(MAX(0,((CEILING((ServiceTarget)*(Arr_M)/Cap_Tech,1)+CEILING((ServiceTarget)*(Arr_E)/Cap_Tech,1)+CEILING((ServiceTarget)*(Arr_N)/Cap_Tech,1)))-Avail_Tech-(OTCapPct)*MIN((CEILING((ServiceTarget)*(Arr_M)/Cap_Tech,1)+CEILING((ServiceTarget)*(Arr_E)/Cap_Tech,1)+CEILING((ServiceTarget)*(Arr_N)/Cap_Tech,1)),Avail_Tech)))*Cap_Tech+(MAX(0,(ServiceTarget)*Arr_M-(10+BedsCurrent)*ShiftHours/BedHr_M)+MAX(0,(ServiceTarget)*Arr_E-(10+BedsCurrent)*ShiftHours/BedHr_E)+MAX(0,(ServiceTarget)*Arr_N-(10+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(9000*(1-DivertShare)+PenDiverted*DivertShare))</f>
        <v>484850</v>
      </c>
      <c r="D27" s="33">
        <f>B27-C27</f>
        <v>32580</v>
      </c>
    </row>
    <row r="28" spans="1:5" x14ac:dyDescent="0.25">
      <c r="A28" s="19">
        <v>12000</v>
      </c>
      <c r="B28" s="19">
        <f>((MIN((CEILING((ServiceTarget)*(Arr_M*(1+0.5*Acuity_M))/Cap_Doc,1)+CEILING((ServiceTarget)*(Arr_E*(1+0.5*Acuity_E))/Cap_Doc,1)+CEILING((ServiceTarget)*(Arr_N*(1+0.5*Acuity_N))/Cap_Doc,1)),Avail_Doc))*RegCost_Doc+(MIN(MAX((CEILING((ServiceTarget)*(Arr_M*(1+0.5*Acuity_M))/Cap_Doc,1)+CEILING((ServiceTarget)*(Arr_E*(1+0.5*Acuity_E))/Cap_Doc,1)+CEILING((ServiceTarget)*(Arr_N*(1+0.5*Acuity_N))/Cap_Doc,1))-Avail_Doc,0),(OTCapPct)*MIN((CEILING((ServiceTarget)*(Arr_M*(1+0.5*Acuity_M))/Cap_Doc,1)+CEILING((ServiceTarget)*(Arr_E*(1+0.5*Acuity_E))/Cap_Doc,1)+CEILING((ServiceTarget)*(Arr_N*(1+0.5*Acuity_N))/Cap_Doc,1)),Avail_Doc)))*OTCost_Doc+(MIN((CEILING((ServiceTarget)*(Arr_M)/Cap_Nurse,1)+CEILING((ServiceTarget)*(Arr_E)/Cap_Nurse,1)+CEILING((ServiceTarget)*(Arr_N)/Cap_Nurse,1)),Avail_Nurse))*RegCost_Nurse+(MIN(MAX((CEILING((ServiceTarget)*(Arr_M)/Cap_Nurse,1)+CEILING((ServiceTarget)*(Arr_E)/Cap_Nurse,1)+CEILING((ServiceTarget)*(Arr_N)/Cap_Nurse,1))-Avail_Nurse,0),(OTCapPct)*MIN((CEILING((ServiceTarget)*(Arr_M)/Cap_Nurse,1)+CEILING((ServiceTarget)*(Arr_E)/Cap_Nurse,1)+CEILING((ServiceTarget)*(Arr_N)/Cap_Nurse,1)),Avail_Nurse)))*OTCost_Nurse+(MIN((CEILING((ServiceTarget)*(Arr_M)/Cap_Tech,1)+CEILING((ServiceTarget)*(Arr_E)/Cap_Tech,1)+CEILING((ServiceTarget)*(Arr_N)/Cap_Tech,1)),Avail_Tech))*RegCost_Tech+(MIN(MAX((CEILING((ServiceTarget)*(Arr_M)/Cap_Tech,1)+CEILING((ServiceTarget)*(Arr_E)/Cap_Tech,1)+CEILING((ServiceTarget)*(Arr_N)/Cap_Tech,1))-Avail_Tech,0),(OTCapPct)*MIN((CEILING((ServiceTarget)*(Arr_M)/Cap_Tech,1)+CEILING((ServiceTarget)*(Arr_E)/Cap_Tech,1)+CEILING((ServiceTarget)*(Arr_N)/Cap_Tech,1)),Avail_Tech)))*OTCost_Tech)+((0)*BedCostPerBed+(ImgExpOn)*ImgExpCost+(LabExpOn)*LabExpCost)+(((MAX(0,((CEILING((ServiceTarget)*(Arr_M*(1+0.5*Acuity_M))/Cap_Doc,1)+CEILING((ServiceTarget)*(Arr_E*(1+0.5*Acuity_E))/Cap_Doc,1)+CEILING((ServiceTarget)*(Arr_N*(1+0.5*Acuity_N))/Cap_Doc,1)))-Avail_Doc-(OTCapPct)*MIN((CEILING((ServiceTarget)*(Arr_M*(1+0.5*Acuity_M))/Cap_Doc,1)+CEILING((ServiceTarget)*(Arr_E*(1+0.5*Acuity_E))/Cap_Doc,1)+CEILING((ServiceTarget)*(Arr_N*(1+0.5*Acuity_N))/Cap_Doc,1)),Avail_Doc)))*Cap_Doc+(MAX(0,((CEILING((ServiceTarget)*(Arr_M)/Cap_Nurse,1)+CEILING((ServiceTarget)*(Arr_E)/Cap_Nurse,1)+CEILING((ServiceTarget)*(Arr_N)/Cap_Nurse,1)))-Avail_Nurse-(OTCapPct)*MIN((CEILING((ServiceTarget)*(Arr_M)/Cap_Nurse,1)+CEILING((ServiceTarget)*(Arr_E)/Cap_Nurse,1)+CEILING((ServiceTarget)*(Arr_N)/Cap_Nurse,1)),Avail_Nurse)))*Cap_Nurse+(MAX(0,((CEILING((ServiceTarget)*(Arr_M)/Cap_Tech,1)+CEILING((ServiceTarget)*(Arr_E)/Cap_Tech,1)+CEILING((ServiceTarget)*(Arr_N)/Cap_Tech,1)))-Avail_Tech-(OTCapPct)*MIN((CEILING((ServiceTarget)*(Arr_M)/Cap_Tech,1)+CEILING((ServiceTarget)*(Arr_E)/Cap_Tech,1)+CEILING((ServiceTarget)*(Arr_N)/Cap_Tech,1)),Avail_Tech)))*Cap_Tech+(MAX(0,(ServiceTarget)*Arr_M-(0+BedsCurrent)*ShiftHours/BedHr_M)+MAX(0,(ServiceTarget)*Arr_E-(0+BedsCurrent)*ShiftHours/BedHr_E)+MAX(0,(ServiceTarget)*Arr_N-(0+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(12000*(1-DivertShare)+PenDiverted*DivertShare))</f>
        <v>568250</v>
      </c>
      <c r="C28" s="19">
        <f>((MIN((CEILING((ServiceTarget)*(Arr_M*(1+0.5*Acuity_M))/Cap_Doc,1)+CEILING((ServiceTarget)*(Arr_E*(1+0.5*Acuity_E))/Cap_Doc,1)+CEILING((ServiceTarget)*(Arr_N*(1+0.5*Acuity_N))/Cap_Doc,1)),Avail_Doc))*RegCost_Doc+(MIN(MAX((CEILING((ServiceTarget)*(Arr_M*(1+0.5*Acuity_M))/Cap_Doc,1)+CEILING((ServiceTarget)*(Arr_E*(1+0.5*Acuity_E))/Cap_Doc,1)+CEILING((ServiceTarget)*(Arr_N*(1+0.5*Acuity_N))/Cap_Doc,1))-Avail_Doc,0),(OTCapPct)*MIN((CEILING((ServiceTarget)*(Arr_M*(1+0.5*Acuity_M))/Cap_Doc,1)+CEILING((ServiceTarget)*(Arr_E*(1+0.5*Acuity_E))/Cap_Doc,1)+CEILING((ServiceTarget)*(Arr_N*(1+0.5*Acuity_N))/Cap_Doc,1)),Avail_Doc)))*OTCost_Doc+(MIN((CEILING((ServiceTarget)*(Arr_M)/Cap_Nurse,1)+CEILING((ServiceTarget)*(Arr_E)/Cap_Nurse,1)+CEILING((ServiceTarget)*(Arr_N)/Cap_Nurse,1)),Avail_Nurse))*RegCost_Nurse+(MIN(MAX((CEILING((ServiceTarget)*(Arr_M)/Cap_Nurse,1)+CEILING((ServiceTarget)*(Arr_E)/Cap_Nurse,1)+CEILING((ServiceTarget)*(Arr_N)/Cap_Nurse,1))-Avail_Nurse,0),(OTCapPct)*MIN((CEILING((ServiceTarget)*(Arr_M)/Cap_Nurse,1)+CEILING((ServiceTarget)*(Arr_E)/Cap_Nurse,1)+CEILING((ServiceTarget)*(Arr_N)/Cap_Nurse,1)),Avail_Nurse)))*OTCost_Nurse+(MIN((CEILING((ServiceTarget)*(Arr_M)/Cap_Tech,1)+CEILING((ServiceTarget)*(Arr_E)/Cap_Tech,1)+CEILING((ServiceTarget)*(Arr_N)/Cap_Tech,1)),Avail_Tech))*RegCost_Tech+(MIN(MAX((CEILING((ServiceTarget)*(Arr_M)/Cap_Tech,1)+CEILING((ServiceTarget)*(Arr_E)/Cap_Tech,1)+CEILING((ServiceTarget)*(Arr_N)/Cap_Tech,1))-Avail_Tech,0),(OTCapPct)*MIN((CEILING((ServiceTarget)*(Arr_M)/Cap_Tech,1)+CEILING((ServiceTarget)*(Arr_E)/Cap_Tech,1)+CEILING((ServiceTarget)*(Arr_N)/Cap_Tech,1)),Avail_Tech)))*OTCost_Tech)+((10)*BedCostPerBed+(ImgExpOn)*ImgExpCost+(LabExpOn)*LabExpCost)+(((MAX(0,((CEILING((ServiceTarget)*(Arr_M*(1+0.5*Acuity_M))/Cap_Doc,1)+CEILING((ServiceTarget)*(Arr_E*(1+0.5*Acuity_E))/Cap_Doc,1)+CEILING((ServiceTarget)*(Arr_N*(1+0.5*Acuity_N))/Cap_Doc,1)))-Avail_Doc-(OTCapPct)*MIN((CEILING((ServiceTarget)*(Arr_M*(1+0.5*Acuity_M))/Cap_Doc,1)+CEILING((ServiceTarget)*(Arr_E*(1+0.5*Acuity_E))/Cap_Doc,1)+CEILING((ServiceTarget)*(Arr_N*(1+0.5*Acuity_N))/Cap_Doc,1)),Avail_Doc)))*Cap_Doc+(MAX(0,((CEILING((ServiceTarget)*(Arr_M)/Cap_Nurse,1)+CEILING((ServiceTarget)*(Arr_E)/Cap_Nurse,1)+CEILING((ServiceTarget)*(Arr_N)/Cap_Nurse,1)))-Avail_Nurse-(OTCapPct)*MIN((CEILING((ServiceTarget)*(Arr_M)/Cap_Nurse,1)+CEILING((ServiceTarget)*(Arr_E)/Cap_Nurse,1)+CEILING((ServiceTarget)*(Arr_N)/Cap_Nurse,1)),Avail_Nurse)))*Cap_Nurse+(MAX(0,((CEILING((ServiceTarget)*(Arr_M)/Cap_Tech,1)+CEILING((ServiceTarget)*(Arr_E)/Cap_Tech,1)+CEILING((ServiceTarget)*(Arr_N)/Cap_Tech,1)))-Avail_Tech-(OTCapPct)*MIN((CEILING((ServiceTarget)*(Arr_M)/Cap_Tech,1)+CEILING((ServiceTarget)*(Arr_E)/Cap_Tech,1)+CEILING((ServiceTarget)*(Arr_N)/Cap_Tech,1)),Avail_Tech)))*Cap_Tech+(MAX(0,(ServiceTarget)*Arr_M-(10+BedsCurrent)*ShiftHours/BedHr_M)+MAX(0,(ServiceTarget)*Arr_E-(10+BedsCurrent)*ShiftHours/BedHr_E)+MAX(0,(ServiceTarget)*Arr_N-(10+BedsCurrent)*ShiftHours/BedHr_N))+(MAX(0,(ServiceTarget)*Arr_M*Acuity_M-(ImgBase+(ImgExpOn)*ImgExpAdd))+MAX(0,(ServiceTarget)*Arr_E*Acuity_E-(ImgBase+(ImgExpOn)*ImgExpAdd))+MAX(0,(ServiceTarget)*Arr_N*Acuity_N-(ImgBase+(ImgExpOn)*ImgExpAdd)))+(MAX(0,(ServiceTarget)*Arr_M-(LabBase+(LabExpOn)*LabExpAdd))+MAX(0,(ServiceTarget)*Arr_E-(LabBase+(LabExpOn)*LabExpAdd))+MAX(0,(ServiceTarget)*Arr_N-(LabBase+(LabExpOn)*LabExpAdd))))*(12000*(1-DivertShare)+PenDiverted*DivertShare))</f>
        <v>524750</v>
      </c>
      <c r="D28" s="33">
        <f>B28-C28</f>
        <v>43500</v>
      </c>
    </row>
    <row r="30" spans="1:5" x14ac:dyDescent="0.25">
      <c r="A30" s="4" t="s">
        <v>181</v>
      </c>
    </row>
    <row r="32" spans="1:5" x14ac:dyDescent="0.25">
      <c r="A32" s="4" t="s">
        <v>182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5</vt:i4>
      </vt:variant>
      <vt:variant>
        <vt:lpstr>Named Ranges</vt:lpstr>
      </vt:variant>
      <vt:variant>
        <vt:i4>52</vt:i4>
      </vt:variant>
    </vt:vector>
  </HeadingPairs>
  <TitlesOfParts>
    <vt:vector size="57" baseType="lpstr">
      <vt:lpstr>ReadMe</vt:lpstr>
      <vt:lpstr>Inputs</vt:lpstr>
      <vt:lpstr>Model</vt:lpstr>
      <vt:lpstr>Strategy Comparison</vt:lpstr>
      <vt:lpstr>Sensitivity</vt:lpstr>
      <vt:lpstr>Acuity_E</vt:lpstr>
      <vt:lpstr>Acuity_M</vt:lpstr>
      <vt:lpstr>Acuity_N</vt:lpstr>
      <vt:lpstr>Arr_E</vt:lpstr>
      <vt:lpstr>Arr_M</vt:lpstr>
      <vt:lpstr>Arr_N</vt:lpstr>
      <vt:lpstr>Avail_Doc</vt:lpstr>
      <vt:lpstr>Avail_Nurse</vt:lpstr>
      <vt:lpstr>Avail_Tech</vt:lpstr>
      <vt:lpstr>BedCostPerBed</vt:lpstr>
      <vt:lpstr>BedHr_E</vt:lpstr>
      <vt:lpstr>BedHr_M</vt:lpstr>
      <vt:lpstr>BedHr_N</vt:lpstr>
      <vt:lpstr>BedsAdded</vt:lpstr>
      <vt:lpstr>BedsCurrent</vt:lpstr>
      <vt:lpstr>BedsMax</vt:lpstr>
      <vt:lpstr>Cap_Doc</vt:lpstr>
      <vt:lpstr>Cap_Nurse</vt:lpstr>
      <vt:lpstr>Cap_Tech</vt:lpstr>
      <vt:lpstr>DivertShare</vt:lpstr>
      <vt:lpstr>DocAbsence</vt:lpstr>
      <vt:lpstr>DocUnavail</vt:lpstr>
      <vt:lpstr>ImgBase</vt:lpstr>
      <vt:lpstr>ImgExpAdd</vt:lpstr>
      <vt:lpstr>ImgExpCost</vt:lpstr>
      <vt:lpstr>ImgExpOn</vt:lpstr>
      <vt:lpstr>IncidentOn</vt:lpstr>
      <vt:lpstr>IncidentSeverity</vt:lpstr>
      <vt:lpstr>IncidentShiftNum</vt:lpstr>
      <vt:lpstr>LabBase</vt:lpstr>
      <vt:lpstr>LabExpAdd</vt:lpstr>
      <vt:lpstr>LabExpCost</vt:lpstr>
      <vt:lpstr>LabExpOn</vt:lpstr>
      <vt:lpstr>NurseAbsence</vt:lpstr>
      <vt:lpstr>NurseUnavail</vt:lpstr>
      <vt:lpstr>OTCapPct</vt:lpstr>
      <vt:lpstr>OTCost_Doc</vt:lpstr>
      <vt:lpstr>OTCost_Nurse</vt:lpstr>
      <vt:lpstr>OTCost_Tech</vt:lpstr>
      <vt:lpstr>PenBedHr</vt:lpstr>
      <vt:lpstr>PenDiverted</vt:lpstr>
      <vt:lpstr>PenUncovered</vt:lpstr>
      <vt:lpstr>RegCost_Doc</vt:lpstr>
      <vt:lpstr>RegCost_Nurse</vt:lpstr>
      <vt:lpstr>RegCost_Tech</vt:lpstr>
      <vt:lpstr>SD_E</vt:lpstr>
      <vt:lpstr>SD_M</vt:lpstr>
      <vt:lpstr>SD_N</vt:lpstr>
      <vt:lpstr>ServiceTarget</vt:lpstr>
      <vt:lpstr>ShiftHours</vt:lpstr>
      <vt:lpstr>TechAbsence</vt:lpstr>
      <vt:lpstr>TechUnavail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ANAND TURUP - 261600080304 - TAPMIMPL</cp:lastModifiedBy>
  <cp:revision>0</cp:revision>
  <dcterms:created xsi:type="dcterms:W3CDTF">2026-09-14T01:02:47Z</dcterms:created>
  <dcterms:modified xsi:type="dcterms:W3CDTF">2026-09-16T16:17:32Z</dcterms:modified>
  <dc:language>en-US</dc:language>
</cp:coreProperties>
</file>