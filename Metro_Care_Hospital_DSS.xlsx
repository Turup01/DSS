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08E2BB1-8F69-454D-A521-7C3CAEC31B4C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Inputs" sheetId="2" r:id="rId1"/>
    <sheet name="Model" sheetId="3" r:id="rId2"/>
    <sheet name="Strategy Comparison" sheetId="4" r:id="rId3"/>
    <sheet name="Sensitivity" sheetId="5" r:id="rId4"/>
    <sheet name="Simulation" sheetId="6" r:id="rId5"/>
  </sheets>
  <definedNames>
    <definedName name="Acuity_E">Inputs!$B$12</definedName>
    <definedName name="Acuity_M">Inputs!$B$11</definedName>
    <definedName name="Acuity_N">Inputs!$B$13</definedName>
    <definedName name="Arr_E">Inputs!$B$6</definedName>
    <definedName name="Arr_M">Inputs!$B$5</definedName>
    <definedName name="Arr_N">Inputs!$B$7</definedName>
    <definedName name="Avail_Doc">Inputs!$B$28</definedName>
    <definedName name="Avail_Nurse">Inputs!$B$29</definedName>
    <definedName name="Avail_Tech">Inputs!$B$30</definedName>
    <definedName name="BaseAbsence_Doc">Inputs!$B$74</definedName>
    <definedName name="BaseAbsence_Nurse">Inputs!$B$75</definedName>
    <definedName name="BaseAbsence_Tech">Inputs!$B$76</definedName>
    <definedName name="BedCostPerBed">Inputs!$B$40</definedName>
    <definedName name="BedHr_E">Inputs!$B$15</definedName>
    <definedName name="BedHr_M">Inputs!$B$14</definedName>
    <definedName name="BedHr_N">Inputs!$B$16</definedName>
    <definedName name="BedHrVariability">Inputs!$B$78</definedName>
    <definedName name="BedsAdded">Inputs!$B$41</definedName>
    <definedName name="BedsCurrent">Inputs!$B$38</definedName>
    <definedName name="BedsMax">Inputs!$B$39</definedName>
    <definedName name="Cap_Doc">Inputs!$B$19</definedName>
    <definedName name="Cap_Nurse">Inputs!$B$20</definedName>
    <definedName name="Cap_Tech">Inputs!$B$21</definedName>
    <definedName name="DivertShare">Inputs!$B$55</definedName>
    <definedName name="DocAbsence">Inputs!$B$61</definedName>
    <definedName name="DocUnavail">Inputs!$B$64</definedName>
    <definedName name="ImgBase">Inputs!$B$42</definedName>
    <definedName name="ImgExpAdd">Inputs!$B$43</definedName>
    <definedName name="ImgExpCost">Inputs!$B$44</definedName>
    <definedName name="ImgExpOn">Inputs!$B$45</definedName>
    <definedName name="IncidentOn">Inputs!$B$58</definedName>
    <definedName name="IncidentSeverity">Inputs!$B$60</definedName>
    <definedName name="IncidentShiftNum">Inputs!$B$59</definedName>
    <definedName name="LabBase">Inputs!$B$46</definedName>
    <definedName name="LabExpAdd">Inputs!$B$47</definedName>
    <definedName name="LabExpCost">Inputs!$B$48</definedName>
    <definedName name="LabExpOn">Inputs!$B$49</definedName>
    <definedName name="NumTrials">Inputs!$B$70</definedName>
    <definedName name="NurseAbsence">Inputs!$B$62</definedName>
    <definedName name="NurseUnavail">Inputs!$B$65</definedName>
    <definedName name="OTCapPct">Inputs!$B$34</definedName>
    <definedName name="OTCost_Doc">Inputs!$B$25</definedName>
    <definedName name="OTCost_Nurse">Inputs!$B$26</definedName>
    <definedName name="OTCost_Tech">Inputs!$B$27</definedName>
    <definedName name="P_Complex">Inputs!$B$72</definedName>
    <definedName name="P_Incident">Inputs!$B$77</definedName>
    <definedName name="P_Normal">Inputs!$B$71</definedName>
    <definedName name="P_Severe">Inputs!$B$73</definedName>
    <definedName name="PenBedHr">Inputs!$B$54</definedName>
    <definedName name="PenDiverted">Inputs!$B$53</definedName>
    <definedName name="PenUncovered">Inputs!$B$52</definedName>
    <definedName name="RegCost_Doc">Inputs!$B$22</definedName>
    <definedName name="RegCost_Nurse">Inputs!$B$23</definedName>
    <definedName name="RegCost_Tech">Inputs!$B$24</definedName>
    <definedName name="SD_E">Inputs!$B$9</definedName>
    <definedName name="SD_M">Inputs!$B$8</definedName>
    <definedName name="SD_N">Inputs!$B$10</definedName>
    <definedName name="ServiceTarget">Inputs!$B$33</definedName>
    <definedName name="ShiftHours">Inputs!$B$35</definedName>
    <definedName name="TechAbsence">Inputs!$B$63</definedName>
    <definedName name="TechUnavail">Inputs!$B$66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7" i="6" l="1"/>
  <c r="I304" i="6"/>
  <c r="H304" i="6"/>
  <c r="G304" i="6"/>
  <c r="F304" i="6"/>
  <c r="E304" i="6"/>
  <c r="D304" i="6"/>
  <c r="B304" i="6"/>
  <c r="C304" i="6" s="1"/>
  <c r="I303" i="6"/>
  <c r="H303" i="6"/>
  <c r="G303" i="6"/>
  <c r="F303" i="6"/>
  <c r="E303" i="6"/>
  <c r="D303" i="6"/>
  <c r="B303" i="6"/>
  <c r="C303" i="6" s="1"/>
  <c r="I302" i="6"/>
  <c r="H302" i="6"/>
  <c r="G302" i="6"/>
  <c r="F302" i="6"/>
  <c r="E302" i="6"/>
  <c r="D302" i="6"/>
  <c r="B302" i="6"/>
  <c r="C302" i="6" s="1"/>
  <c r="I301" i="6"/>
  <c r="H301" i="6"/>
  <c r="G301" i="6"/>
  <c r="F301" i="6"/>
  <c r="E301" i="6"/>
  <c r="D301" i="6"/>
  <c r="B301" i="6"/>
  <c r="C301" i="6" s="1"/>
  <c r="I300" i="6"/>
  <c r="H300" i="6"/>
  <c r="G300" i="6"/>
  <c r="F300" i="6"/>
  <c r="E300" i="6"/>
  <c r="D300" i="6"/>
  <c r="B300" i="6"/>
  <c r="C300" i="6" s="1"/>
  <c r="I299" i="6"/>
  <c r="H299" i="6"/>
  <c r="G299" i="6"/>
  <c r="F299" i="6"/>
  <c r="E299" i="6"/>
  <c r="D299" i="6"/>
  <c r="B299" i="6"/>
  <c r="C299" i="6" s="1"/>
  <c r="I298" i="6"/>
  <c r="H298" i="6"/>
  <c r="G298" i="6"/>
  <c r="F298" i="6"/>
  <c r="E298" i="6"/>
  <c r="D298" i="6"/>
  <c r="B298" i="6"/>
  <c r="C298" i="6" s="1"/>
  <c r="I297" i="6"/>
  <c r="H297" i="6"/>
  <c r="G297" i="6"/>
  <c r="F297" i="6"/>
  <c r="E297" i="6"/>
  <c r="D297" i="6"/>
  <c r="B297" i="6"/>
  <c r="C297" i="6" s="1"/>
  <c r="I296" i="6"/>
  <c r="H296" i="6"/>
  <c r="G296" i="6"/>
  <c r="F296" i="6"/>
  <c r="E296" i="6"/>
  <c r="D296" i="6"/>
  <c r="B296" i="6"/>
  <c r="C296" i="6" s="1"/>
  <c r="I295" i="6"/>
  <c r="H295" i="6"/>
  <c r="G295" i="6"/>
  <c r="F295" i="6"/>
  <c r="E295" i="6"/>
  <c r="D295" i="6"/>
  <c r="B295" i="6"/>
  <c r="C295" i="6" s="1"/>
  <c r="I294" i="6"/>
  <c r="H294" i="6"/>
  <c r="G294" i="6"/>
  <c r="F294" i="6"/>
  <c r="E294" i="6"/>
  <c r="D294" i="6"/>
  <c r="B294" i="6"/>
  <c r="C294" i="6" s="1"/>
  <c r="I293" i="6"/>
  <c r="H293" i="6"/>
  <c r="G293" i="6"/>
  <c r="F293" i="6"/>
  <c r="E293" i="6"/>
  <c r="D293" i="6"/>
  <c r="B293" i="6"/>
  <c r="C293" i="6" s="1"/>
  <c r="I292" i="6"/>
  <c r="H292" i="6"/>
  <c r="G292" i="6"/>
  <c r="F292" i="6"/>
  <c r="E292" i="6"/>
  <c r="D292" i="6"/>
  <c r="B292" i="6"/>
  <c r="C292" i="6" s="1"/>
  <c r="I291" i="6"/>
  <c r="H291" i="6"/>
  <c r="G291" i="6"/>
  <c r="F291" i="6"/>
  <c r="E291" i="6"/>
  <c r="D291" i="6"/>
  <c r="B291" i="6"/>
  <c r="C291" i="6" s="1"/>
  <c r="I290" i="6"/>
  <c r="H290" i="6"/>
  <c r="G290" i="6"/>
  <c r="F290" i="6"/>
  <c r="E290" i="6"/>
  <c r="D290" i="6"/>
  <c r="B290" i="6"/>
  <c r="C290" i="6" s="1"/>
  <c r="I289" i="6"/>
  <c r="H289" i="6"/>
  <c r="G289" i="6"/>
  <c r="F289" i="6"/>
  <c r="E289" i="6"/>
  <c r="D289" i="6"/>
  <c r="B289" i="6"/>
  <c r="C289" i="6" s="1"/>
  <c r="I288" i="6"/>
  <c r="H288" i="6"/>
  <c r="G288" i="6"/>
  <c r="F288" i="6"/>
  <c r="E288" i="6"/>
  <c r="D288" i="6"/>
  <c r="B288" i="6"/>
  <c r="C288" i="6" s="1"/>
  <c r="I287" i="6"/>
  <c r="H287" i="6"/>
  <c r="G287" i="6"/>
  <c r="F287" i="6"/>
  <c r="E287" i="6"/>
  <c r="D287" i="6"/>
  <c r="B287" i="6"/>
  <c r="C287" i="6" s="1"/>
  <c r="I286" i="6"/>
  <c r="H286" i="6"/>
  <c r="G286" i="6"/>
  <c r="F286" i="6"/>
  <c r="E286" i="6"/>
  <c r="D286" i="6"/>
  <c r="B286" i="6"/>
  <c r="C286" i="6" s="1"/>
  <c r="I285" i="6"/>
  <c r="H285" i="6"/>
  <c r="G285" i="6"/>
  <c r="F285" i="6"/>
  <c r="E285" i="6"/>
  <c r="D285" i="6"/>
  <c r="B285" i="6"/>
  <c r="C285" i="6" s="1"/>
  <c r="I284" i="6"/>
  <c r="H284" i="6"/>
  <c r="G284" i="6"/>
  <c r="F284" i="6"/>
  <c r="E284" i="6"/>
  <c r="D284" i="6"/>
  <c r="B284" i="6"/>
  <c r="C284" i="6" s="1"/>
  <c r="I283" i="6"/>
  <c r="H283" i="6"/>
  <c r="G283" i="6"/>
  <c r="F283" i="6"/>
  <c r="E283" i="6"/>
  <c r="D283" i="6"/>
  <c r="B283" i="6"/>
  <c r="C283" i="6" s="1"/>
  <c r="I282" i="6"/>
  <c r="H282" i="6"/>
  <c r="G282" i="6"/>
  <c r="F282" i="6"/>
  <c r="E282" i="6"/>
  <c r="D282" i="6"/>
  <c r="B282" i="6"/>
  <c r="C282" i="6" s="1"/>
  <c r="I281" i="6"/>
  <c r="H281" i="6"/>
  <c r="G281" i="6"/>
  <c r="F281" i="6"/>
  <c r="E281" i="6"/>
  <c r="D281" i="6"/>
  <c r="B281" i="6"/>
  <c r="C281" i="6" s="1"/>
  <c r="I280" i="6"/>
  <c r="H280" i="6"/>
  <c r="G280" i="6"/>
  <c r="F280" i="6"/>
  <c r="E280" i="6"/>
  <c r="D280" i="6"/>
  <c r="B280" i="6"/>
  <c r="C280" i="6" s="1"/>
  <c r="I279" i="6"/>
  <c r="H279" i="6"/>
  <c r="G279" i="6"/>
  <c r="F279" i="6"/>
  <c r="E279" i="6"/>
  <c r="D279" i="6"/>
  <c r="B279" i="6"/>
  <c r="C279" i="6" s="1"/>
  <c r="I278" i="6"/>
  <c r="H278" i="6"/>
  <c r="G278" i="6"/>
  <c r="F278" i="6"/>
  <c r="E278" i="6"/>
  <c r="D278" i="6"/>
  <c r="B278" i="6"/>
  <c r="C278" i="6" s="1"/>
  <c r="I277" i="6"/>
  <c r="H277" i="6"/>
  <c r="G277" i="6"/>
  <c r="F277" i="6"/>
  <c r="E277" i="6"/>
  <c r="D277" i="6"/>
  <c r="B277" i="6"/>
  <c r="C277" i="6" s="1"/>
  <c r="I276" i="6"/>
  <c r="H276" i="6"/>
  <c r="G276" i="6"/>
  <c r="F276" i="6"/>
  <c r="E276" i="6"/>
  <c r="D276" i="6"/>
  <c r="B276" i="6"/>
  <c r="C276" i="6" s="1"/>
  <c r="I275" i="6"/>
  <c r="H275" i="6"/>
  <c r="G275" i="6"/>
  <c r="F275" i="6"/>
  <c r="E275" i="6"/>
  <c r="D275" i="6"/>
  <c r="B275" i="6"/>
  <c r="C275" i="6" s="1"/>
  <c r="I274" i="6"/>
  <c r="H274" i="6"/>
  <c r="G274" i="6"/>
  <c r="F274" i="6"/>
  <c r="E274" i="6"/>
  <c r="D274" i="6"/>
  <c r="B274" i="6"/>
  <c r="C274" i="6" s="1"/>
  <c r="I273" i="6"/>
  <c r="H273" i="6"/>
  <c r="G273" i="6"/>
  <c r="F273" i="6"/>
  <c r="E273" i="6"/>
  <c r="D273" i="6"/>
  <c r="B273" i="6"/>
  <c r="C273" i="6" s="1"/>
  <c r="I272" i="6"/>
  <c r="H272" i="6"/>
  <c r="G272" i="6"/>
  <c r="F272" i="6"/>
  <c r="E272" i="6"/>
  <c r="D272" i="6"/>
  <c r="B272" i="6"/>
  <c r="C272" i="6" s="1"/>
  <c r="I271" i="6"/>
  <c r="H271" i="6"/>
  <c r="G271" i="6"/>
  <c r="F271" i="6"/>
  <c r="E271" i="6"/>
  <c r="D271" i="6"/>
  <c r="B271" i="6"/>
  <c r="C271" i="6" s="1"/>
  <c r="I270" i="6"/>
  <c r="H270" i="6"/>
  <c r="G270" i="6"/>
  <c r="F270" i="6"/>
  <c r="E270" i="6"/>
  <c r="D270" i="6"/>
  <c r="B270" i="6"/>
  <c r="C270" i="6" s="1"/>
  <c r="I269" i="6"/>
  <c r="H269" i="6"/>
  <c r="G269" i="6"/>
  <c r="F269" i="6"/>
  <c r="E269" i="6"/>
  <c r="D269" i="6"/>
  <c r="B269" i="6"/>
  <c r="C269" i="6" s="1"/>
  <c r="I268" i="6"/>
  <c r="H268" i="6"/>
  <c r="G268" i="6"/>
  <c r="F268" i="6"/>
  <c r="E268" i="6"/>
  <c r="D268" i="6"/>
  <c r="B268" i="6"/>
  <c r="C268" i="6" s="1"/>
  <c r="I267" i="6"/>
  <c r="H267" i="6"/>
  <c r="G267" i="6"/>
  <c r="F267" i="6"/>
  <c r="E267" i="6"/>
  <c r="D267" i="6"/>
  <c r="B267" i="6"/>
  <c r="C267" i="6" s="1"/>
  <c r="I266" i="6"/>
  <c r="H266" i="6"/>
  <c r="G266" i="6"/>
  <c r="F266" i="6"/>
  <c r="E266" i="6"/>
  <c r="D266" i="6"/>
  <c r="B266" i="6"/>
  <c r="C266" i="6" s="1"/>
  <c r="I265" i="6"/>
  <c r="H265" i="6"/>
  <c r="G265" i="6"/>
  <c r="F265" i="6"/>
  <c r="E265" i="6"/>
  <c r="D265" i="6"/>
  <c r="B265" i="6"/>
  <c r="C265" i="6" s="1"/>
  <c r="I264" i="6"/>
  <c r="H264" i="6"/>
  <c r="G264" i="6"/>
  <c r="F264" i="6"/>
  <c r="E264" i="6"/>
  <c r="D264" i="6"/>
  <c r="B264" i="6"/>
  <c r="C264" i="6" s="1"/>
  <c r="I263" i="6"/>
  <c r="H263" i="6"/>
  <c r="G263" i="6"/>
  <c r="F263" i="6"/>
  <c r="E263" i="6"/>
  <c r="D263" i="6"/>
  <c r="B263" i="6"/>
  <c r="C263" i="6" s="1"/>
  <c r="I262" i="6"/>
  <c r="H262" i="6"/>
  <c r="G262" i="6"/>
  <c r="F262" i="6"/>
  <c r="E262" i="6"/>
  <c r="D262" i="6"/>
  <c r="B262" i="6"/>
  <c r="C262" i="6" s="1"/>
  <c r="I261" i="6"/>
  <c r="H261" i="6"/>
  <c r="G261" i="6"/>
  <c r="F261" i="6"/>
  <c r="E261" i="6"/>
  <c r="D261" i="6"/>
  <c r="B261" i="6"/>
  <c r="C261" i="6" s="1"/>
  <c r="I260" i="6"/>
  <c r="H260" i="6"/>
  <c r="G260" i="6"/>
  <c r="F260" i="6"/>
  <c r="E260" i="6"/>
  <c r="D260" i="6"/>
  <c r="B260" i="6"/>
  <c r="C260" i="6" s="1"/>
  <c r="I259" i="6"/>
  <c r="H259" i="6"/>
  <c r="G259" i="6"/>
  <c r="F259" i="6"/>
  <c r="E259" i="6"/>
  <c r="D259" i="6"/>
  <c r="B259" i="6"/>
  <c r="C259" i="6" s="1"/>
  <c r="I258" i="6"/>
  <c r="H258" i="6"/>
  <c r="G258" i="6"/>
  <c r="F258" i="6"/>
  <c r="E258" i="6"/>
  <c r="D258" i="6"/>
  <c r="B258" i="6"/>
  <c r="C258" i="6" s="1"/>
  <c r="I257" i="6"/>
  <c r="H257" i="6"/>
  <c r="G257" i="6"/>
  <c r="F257" i="6"/>
  <c r="E257" i="6"/>
  <c r="D257" i="6"/>
  <c r="B257" i="6"/>
  <c r="C257" i="6" s="1"/>
  <c r="I256" i="6"/>
  <c r="H256" i="6"/>
  <c r="G256" i="6"/>
  <c r="F256" i="6"/>
  <c r="E256" i="6"/>
  <c r="D256" i="6"/>
  <c r="B256" i="6"/>
  <c r="C256" i="6" s="1"/>
  <c r="I255" i="6"/>
  <c r="H255" i="6"/>
  <c r="G255" i="6"/>
  <c r="F255" i="6"/>
  <c r="E255" i="6"/>
  <c r="D255" i="6"/>
  <c r="B255" i="6"/>
  <c r="C255" i="6" s="1"/>
  <c r="I254" i="6"/>
  <c r="H254" i="6"/>
  <c r="G254" i="6"/>
  <c r="F254" i="6"/>
  <c r="E254" i="6"/>
  <c r="D254" i="6"/>
  <c r="B254" i="6"/>
  <c r="C254" i="6" s="1"/>
  <c r="I253" i="6"/>
  <c r="H253" i="6"/>
  <c r="G253" i="6"/>
  <c r="F253" i="6"/>
  <c r="E253" i="6"/>
  <c r="D253" i="6"/>
  <c r="B253" i="6"/>
  <c r="C253" i="6" s="1"/>
  <c r="I252" i="6"/>
  <c r="H252" i="6"/>
  <c r="G252" i="6"/>
  <c r="F252" i="6"/>
  <c r="E252" i="6"/>
  <c r="D252" i="6"/>
  <c r="B252" i="6"/>
  <c r="C252" i="6" s="1"/>
  <c r="I251" i="6"/>
  <c r="H251" i="6"/>
  <c r="G251" i="6"/>
  <c r="F251" i="6"/>
  <c r="E251" i="6"/>
  <c r="D251" i="6"/>
  <c r="B251" i="6"/>
  <c r="C251" i="6" s="1"/>
  <c r="I250" i="6"/>
  <c r="H250" i="6"/>
  <c r="G250" i="6"/>
  <c r="F250" i="6"/>
  <c r="E250" i="6"/>
  <c r="D250" i="6"/>
  <c r="B250" i="6"/>
  <c r="C250" i="6" s="1"/>
  <c r="I249" i="6"/>
  <c r="H249" i="6"/>
  <c r="G249" i="6"/>
  <c r="F249" i="6"/>
  <c r="E249" i="6"/>
  <c r="D249" i="6"/>
  <c r="B249" i="6"/>
  <c r="C249" i="6" s="1"/>
  <c r="I248" i="6"/>
  <c r="H248" i="6"/>
  <c r="G248" i="6"/>
  <c r="F248" i="6"/>
  <c r="E248" i="6"/>
  <c r="D248" i="6"/>
  <c r="B248" i="6"/>
  <c r="C248" i="6" s="1"/>
  <c r="I247" i="6"/>
  <c r="H247" i="6"/>
  <c r="G247" i="6"/>
  <c r="F247" i="6"/>
  <c r="E247" i="6"/>
  <c r="D247" i="6"/>
  <c r="B247" i="6"/>
  <c r="C247" i="6" s="1"/>
  <c r="I246" i="6"/>
  <c r="H246" i="6"/>
  <c r="G246" i="6"/>
  <c r="F246" i="6"/>
  <c r="E246" i="6"/>
  <c r="D246" i="6"/>
  <c r="B246" i="6"/>
  <c r="C246" i="6" s="1"/>
  <c r="I245" i="6"/>
  <c r="H245" i="6"/>
  <c r="G245" i="6"/>
  <c r="F245" i="6"/>
  <c r="E245" i="6"/>
  <c r="D245" i="6"/>
  <c r="B245" i="6"/>
  <c r="C245" i="6" s="1"/>
  <c r="I244" i="6"/>
  <c r="H244" i="6"/>
  <c r="G244" i="6"/>
  <c r="F244" i="6"/>
  <c r="E244" i="6"/>
  <c r="D244" i="6"/>
  <c r="B244" i="6"/>
  <c r="C244" i="6" s="1"/>
  <c r="I243" i="6"/>
  <c r="H243" i="6"/>
  <c r="G243" i="6"/>
  <c r="F243" i="6"/>
  <c r="E243" i="6"/>
  <c r="D243" i="6"/>
  <c r="B243" i="6"/>
  <c r="C243" i="6" s="1"/>
  <c r="I242" i="6"/>
  <c r="H242" i="6"/>
  <c r="G242" i="6"/>
  <c r="F242" i="6"/>
  <c r="E242" i="6"/>
  <c r="D242" i="6"/>
  <c r="B242" i="6"/>
  <c r="C242" i="6" s="1"/>
  <c r="I241" i="6"/>
  <c r="H241" i="6"/>
  <c r="G241" i="6"/>
  <c r="F241" i="6"/>
  <c r="E241" i="6"/>
  <c r="D241" i="6"/>
  <c r="B241" i="6"/>
  <c r="C241" i="6" s="1"/>
  <c r="I240" i="6"/>
  <c r="H240" i="6"/>
  <c r="G240" i="6"/>
  <c r="F240" i="6"/>
  <c r="E240" i="6"/>
  <c r="D240" i="6"/>
  <c r="B240" i="6"/>
  <c r="C240" i="6" s="1"/>
  <c r="I239" i="6"/>
  <c r="H239" i="6"/>
  <c r="G239" i="6"/>
  <c r="F239" i="6"/>
  <c r="E239" i="6"/>
  <c r="D239" i="6"/>
  <c r="B239" i="6"/>
  <c r="C239" i="6" s="1"/>
  <c r="I238" i="6"/>
  <c r="H238" i="6"/>
  <c r="G238" i="6"/>
  <c r="F238" i="6"/>
  <c r="E238" i="6"/>
  <c r="D238" i="6"/>
  <c r="B238" i="6"/>
  <c r="C238" i="6" s="1"/>
  <c r="I237" i="6"/>
  <c r="H237" i="6"/>
  <c r="G237" i="6"/>
  <c r="F237" i="6"/>
  <c r="E237" i="6"/>
  <c r="D237" i="6"/>
  <c r="B237" i="6"/>
  <c r="C237" i="6" s="1"/>
  <c r="I236" i="6"/>
  <c r="H236" i="6"/>
  <c r="G236" i="6"/>
  <c r="F236" i="6"/>
  <c r="E236" i="6"/>
  <c r="D236" i="6"/>
  <c r="B236" i="6"/>
  <c r="C236" i="6" s="1"/>
  <c r="I235" i="6"/>
  <c r="H235" i="6"/>
  <c r="G235" i="6"/>
  <c r="F235" i="6"/>
  <c r="E235" i="6"/>
  <c r="D235" i="6"/>
  <c r="B235" i="6"/>
  <c r="C235" i="6" s="1"/>
  <c r="I234" i="6"/>
  <c r="H234" i="6"/>
  <c r="G234" i="6"/>
  <c r="F234" i="6"/>
  <c r="E234" i="6"/>
  <c r="D234" i="6"/>
  <c r="B234" i="6"/>
  <c r="C234" i="6" s="1"/>
  <c r="I233" i="6"/>
  <c r="H233" i="6"/>
  <c r="G233" i="6"/>
  <c r="F233" i="6"/>
  <c r="E233" i="6"/>
  <c r="D233" i="6"/>
  <c r="B233" i="6"/>
  <c r="C233" i="6" s="1"/>
  <c r="I232" i="6"/>
  <c r="H232" i="6"/>
  <c r="G232" i="6"/>
  <c r="F232" i="6"/>
  <c r="E232" i="6"/>
  <c r="D232" i="6"/>
  <c r="B232" i="6"/>
  <c r="C232" i="6" s="1"/>
  <c r="I231" i="6"/>
  <c r="H231" i="6"/>
  <c r="G231" i="6"/>
  <c r="F231" i="6"/>
  <c r="E231" i="6"/>
  <c r="D231" i="6"/>
  <c r="B231" i="6"/>
  <c r="C231" i="6" s="1"/>
  <c r="I230" i="6"/>
  <c r="H230" i="6"/>
  <c r="G230" i="6"/>
  <c r="F230" i="6"/>
  <c r="E230" i="6"/>
  <c r="D230" i="6"/>
  <c r="B230" i="6"/>
  <c r="C230" i="6" s="1"/>
  <c r="I229" i="6"/>
  <c r="H229" i="6"/>
  <c r="G229" i="6"/>
  <c r="F229" i="6"/>
  <c r="E229" i="6"/>
  <c r="D229" i="6"/>
  <c r="B229" i="6"/>
  <c r="C229" i="6" s="1"/>
  <c r="I228" i="6"/>
  <c r="H228" i="6"/>
  <c r="G228" i="6"/>
  <c r="F228" i="6"/>
  <c r="E228" i="6"/>
  <c r="D228" i="6"/>
  <c r="B228" i="6"/>
  <c r="C228" i="6" s="1"/>
  <c r="I227" i="6"/>
  <c r="H227" i="6"/>
  <c r="G227" i="6"/>
  <c r="F227" i="6"/>
  <c r="E227" i="6"/>
  <c r="D227" i="6"/>
  <c r="B227" i="6"/>
  <c r="C227" i="6" s="1"/>
  <c r="I226" i="6"/>
  <c r="H226" i="6"/>
  <c r="G226" i="6"/>
  <c r="F226" i="6"/>
  <c r="E226" i="6"/>
  <c r="D226" i="6"/>
  <c r="B226" i="6"/>
  <c r="C226" i="6" s="1"/>
  <c r="I225" i="6"/>
  <c r="H225" i="6"/>
  <c r="G225" i="6"/>
  <c r="F225" i="6"/>
  <c r="E225" i="6"/>
  <c r="D225" i="6"/>
  <c r="B225" i="6"/>
  <c r="C225" i="6" s="1"/>
  <c r="I224" i="6"/>
  <c r="H224" i="6"/>
  <c r="G224" i="6"/>
  <c r="F224" i="6"/>
  <c r="E224" i="6"/>
  <c r="D224" i="6"/>
  <c r="B224" i="6"/>
  <c r="C224" i="6" s="1"/>
  <c r="I223" i="6"/>
  <c r="H223" i="6"/>
  <c r="G223" i="6"/>
  <c r="F223" i="6"/>
  <c r="E223" i="6"/>
  <c r="D223" i="6"/>
  <c r="B223" i="6"/>
  <c r="C223" i="6" s="1"/>
  <c r="I222" i="6"/>
  <c r="H222" i="6"/>
  <c r="G222" i="6"/>
  <c r="F222" i="6"/>
  <c r="E222" i="6"/>
  <c r="D222" i="6"/>
  <c r="B222" i="6"/>
  <c r="C222" i="6" s="1"/>
  <c r="I221" i="6"/>
  <c r="H221" i="6"/>
  <c r="G221" i="6"/>
  <c r="F221" i="6"/>
  <c r="E221" i="6"/>
  <c r="D221" i="6"/>
  <c r="B221" i="6"/>
  <c r="C221" i="6" s="1"/>
  <c r="I220" i="6"/>
  <c r="H220" i="6"/>
  <c r="G220" i="6"/>
  <c r="F220" i="6"/>
  <c r="E220" i="6"/>
  <c r="D220" i="6"/>
  <c r="B220" i="6"/>
  <c r="C220" i="6" s="1"/>
  <c r="I219" i="6"/>
  <c r="H219" i="6"/>
  <c r="G219" i="6"/>
  <c r="F219" i="6"/>
  <c r="E219" i="6"/>
  <c r="D219" i="6"/>
  <c r="B219" i="6"/>
  <c r="C219" i="6" s="1"/>
  <c r="I218" i="6"/>
  <c r="H218" i="6"/>
  <c r="G218" i="6"/>
  <c r="F218" i="6"/>
  <c r="E218" i="6"/>
  <c r="D218" i="6"/>
  <c r="B218" i="6"/>
  <c r="C218" i="6" s="1"/>
  <c r="I217" i="6"/>
  <c r="H217" i="6"/>
  <c r="G217" i="6"/>
  <c r="F217" i="6"/>
  <c r="E217" i="6"/>
  <c r="D217" i="6"/>
  <c r="B217" i="6"/>
  <c r="C217" i="6" s="1"/>
  <c r="I216" i="6"/>
  <c r="H216" i="6"/>
  <c r="G216" i="6"/>
  <c r="F216" i="6"/>
  <c r="E216" i="6"/>
  <c r="D216" i="6"/>
  <c r="B216" i="6"/>
  <c r="C216" i="6" s="1"/>
  <c r="I215" i="6"/>
  <c r="H215" i="6"/>
  <c r="G215" i="6"/>
  <c r="F215" i="6"/>
  <c r="E215" i="6"/>
  <c r="D215" i="6"/>
  <c r="B215" i="6"/>
  <c r="C215" i="6" s="1"/>
  <c r="I214" i="6"/>
  <c r="H214" i="6"/>
  <c r="G214" i="6"/>
  <c r="F214" i="6"/>
  <c r="E214" i="6"/>
  <c r="D214" i="6"/>
  <c r="B214" i="6"/>
  <c r="C214" i="6" s="1"/>
  <c r="I213" i="6"/>
  <c r="H213" i="6"/>
  <c r="G213" i="6"/>
  <c r="F213" i="6"/>
  <c r="E213" i="6"/>
  <c r="D213" i="6"/>
  <c r="B213" i="6"/>
  <c r="C213" i="6" s="1"/>
  <c r="I212" i="6"/>
  <c r="H212" i="6"/>
  <c r="G212" i="6"/>
  <c r="F212" i="6"/>
  <c r="E212" i="6"/>
  <c r="D212" i="6"/>
  <c r="B212" i="6"/>
  <c r="C212" i="6" s="1"/>
  <c r="I211" i="6"/>
  <c r="H211" i="6"/>
  <c r="G211" i="6"/>
  <c r="F211" i="6"/>
  <c r="E211" i="6"/>
  <c r="D211" i="6"/>
  <c r="B211" i="6"/>
  <c r="C211" i="6" s="1"/>
  <c r="I210" i="6"/>
  <c r="H210" i="6"/>
  <c r="G210" i="6"/>
  <c r="F210" i="6"/>
  <c r="E210" i="6"/>
  <c r="D210" i="6"/>
  <c r="B210" i="6"/>
  <c r="C210" i="6" s="1"/>
  <c r="I209" i="6"/>
  <c r="H209" i="6"/>
  <c r="G209" i="6"/>
  <c r="F209" i="6"/>
  <c r="E209" i="6"/>
  <c r="D209" i="6"/>
  <c r="B209" i="6"/>
  <c r="C209" i="6" s="1"/>
  <c r="I208" i="6"/>
  <c r="H208" i="6"/>
  <c r="G208" i="6"/>
  <c r="F208" i="6"/>
  <c r="E208" i="6"/>
  <c r="D208" i="6"/>
  <c r="B208" i="6"/>
  <c r="C208" i="6" s="1"/>
  <c r="I207" i="6"/>
  <c r="H207" i="6"/>
  <c r="G207" i="6"/>
  <c r="F207" i="6"/>
  <c r="E207" i="6"/>
  <c r="D207" i="6"/>
  <c r="B207" i="6"/>
  <c r="C207" i="6" s="1"/>
  <c r="I206" i="6"/>
  <c r="H206" i="6"/>
  <c r="G206" i="6"/>
  <c r="F206" i="6"/>
  <c r="E206" i="6"/>
  <c r="D206" i="6"/>
  <c r="B206" i="6"/>
  <c r="C206" i="6" s="1"/>
  <c r="I205" i="6"/>
  <c r="H205" i="6"/>
  <c r="G205" i="6"/>
  <c r="F205" i="6"/>
  <c r="E205" i="6"/>
  <c r="D205" i="6"/>
  <c r="B205" i="6"/>
  <c r="C205" i="6" s="1"/>
  <c r="I204" i="6"/>
  <c r="H204" i="6"/>
  <c r="G204" i="6"/>
  <c r="F204" i="6"/>
  <c r="E204" i="6"/>
  <c r="D204" i="6"/>
  <c r="B204" i="6"/>
  <c r="C204" i="6" s="1"/>
  <c r="I203" i="6"/>
  <c r="H203" i="6"/>
  <c r="G203" i="6"/>
  <c r="F203" i="6"/>
  <c r="E203" i="6"/>
  <c r="D203" i="6"/>
  <c r="B203" i="6"/>
  <c r="C203" i="6" s="1"/>
  <c r="I202" i="6"/>
  <c r="H202" i="6"/>
  <c r="G202" i="6"/>
  <c r="F202" i="6"/>
  <c r="E202" i="6"/>
  <c r="D202" i="6"/>
  <c r="B202" i="6"/>
  <c r="C202" i="6" s="1"/>
  <c r="I201" i="6"/>
  <c r="H201" i="6"/>
  <c r="G201" i="6"/>
  <c r="F201" i="6"/>
  <c r="E201" i="6"/>
  <c r="D201" i="6"/>
  <c r="B201" i="6"/>
  <c r="C201" i="6" s="1"/>
  <c r="I200" i="6"/>
  <c r="H200" i="6"/>
  <c r="G200" i="6"/>
  <c r="F200" i="6"/>
  <c r="E200" i="6"/>
  <c r="D200" i="6"/>
  <c r="B200" i="6"/>
  <c r="C200" i="6" s="1"/>
  <c r="I199" i="6"/>
  <c r="H199" i="6"/>
  <c r="G199" i="6"/>
  <c r="F199" i="6"/>
  <c r="E199" i="6"/>
  <c r="D199" i="6"/>
  <c r="B199" i="6"/>
  <c r="C199" i="6" s="1"/>
  <c r="I198" i="6"/>
  <c r="H198" i="6"/>
  <c r="G198" i="6"/>
  <c r="F198" i="6"/>
  <c r="E198" i="6"/>
  <c r="D198" i="6"/>
  <c r="B198" i="6"/>
  <c r="C198" i="6" s="1"/>
  <c r="I197" i="6"/>
  <c r="H197" i="6"/>
  <c r="G197" i="6"/>
  <c r="F197" i="6"/>
  <c r="E197" i="6"/>
  <c r="D197" i="6"/>
  <c r="B197" i="6"/>
  <c r="C197" i="6" s="1"/>
  <c r="I196" i="6"/>
  <c r="H196" i="6"/>
  <c r="G196" i="6"/>
  <c r="F196" i="6"/>
  <c r="E196" i="6"/>
  <c r="D196" i="6"/>
  <c r="B196" i="6"/>
  <c r="C196" i="6" s="1"/>
  <c r="I195" i="6"/>
  <c r="H195" i="6"/>
  <c r="G195" i="6"/>
  <c r="F195" i="6"/>
  <c r="E195" i="6"/>
  <c r="D195" i="6"/>
  <c r="B195" i="6"/>
  <c r="C195" i="6" s="1"/>
  <c r="I194" i="6"/>
  <c r="H194" i="6"/>
  <c r="G194" i="6"/>
  <c r="F194" i="6"/>
  <c r="E194" i="6"/>
  <c r="D194" i="6"/>
  <c r="B194" i="6"/>
  <c r="C194" i="6" s="1"/>
  <c r="I193" i="6"/>
  <c r="H193" i="6"/>
  <c r="G193" i="6"/>
  <c r="F193" i="6"/>
  <c r="E193" i="6"/>
  <c r="D193" i="6"/>
  <c r="B193" i="6"/>
  <c r="C193" i="6" s="1"/>
  <c r="I192" i="6"/>
  <c r="H192" i="6"/>
  <c r="G192" i="6"/>
  <c r="F192" i="6"/>
  <c r="E192" i="6"/>
  <c r="D192" i="6"/>
  <c r="B192" i="6"/>
  <c r="C192" i="6" s="1"/>
  <c r="I191" i="6"/>
  <c r="H191" i="6"/>
  <c r="G191" i="6"/>
  <c r="F191" i="6"/>
  <c r="E191" i="6"/>
  <c r="D191" i="6"/>
  <c r="B191" i="6"/>
  <c r="C191" i="6" s="1"/>
  <c r="I190" i="6"/>
  <c r="H190" i="6"/>
  <c r="G190" i="6"/>
  <c r="F190" i="6"/>
  <c r="E190" i="6"/>
  <c r="D190" i="6"/>
  <c r="B190" i="6"/>
  <c r="C190" i="6" s="1"/>
  <c r="I189" i="6"/>
  <c r="H189" i="6"/>
  <c r="G189" i="6"/>
  <c r="F189" i="6"/>
  <c r="E189" i="6"/>
  <c r="D189" i="6"/>
  <c r="B189" i="6"/>
  <c r="C189" i="6" s="1"/>
  <c r="I188" i="6"/>
  <c r="H188" i="6"/>
  <c r="G188" i="6"/>
  <c r="F188" i="6"/>
  <c r="E188" i="6"/>
  <c r="D188" i="6"/>
  <c r="B188" i="6"/>
  <c r="C188" i="6" s="1"/>
  <c r="I187" i="6"/>
  <c r="H187" i="6"/>
  <c r="G187" i="6"/>
  <c r="F187" i="6"/>
  <c r="E187" i="6"/>
  <c r="D187" i="6"/>
  <c r="B187" i="6"/>
  <c r="C187" i="6" s="1"/>
  <c r="I186" i="6"/>
  <c r="H186" i="6"/>
  <c r="G186" i="6"/>
  <c r="F186" i="6"/>
  <c r="E186" i="6"/>
  <c r="D186" i="6"/>
  <c r="B186" i="6"/>
  <c r="C186" i="6" s="1"/>
  <c r="I185" i="6"/>
  <c r="H185" i="6"/>
  <c r="G185" i="6"/>
  <c r="F185" i="6"/>
  <c r="E185" i="6"/>
  <c r="D185" i="6"/>
  <c r="B185" i="6"/>
  <c r="C185" i="6" s="1"/>
  <c r="I184" i="6"/>
  <c r="H184" i="6"/>
  <c r="G184" i="6"/>
  <c r="F184" i="6"/>
  <c r="E184" i="6"/>
  <c r="D184" i="6"/>
  <c r="B184" i="6"/>
  <c r="C184" i="6" s="1"/>
  <c r="I183" i="6"/>
  <c r="H183" i="6"/>
  <c r="G183" i="6"/>
  <c r="F183" i="6"/>
  <c r="E183" i="6"/>
  <c r="D183" i="6"/>
  <c r="B183" i="6"/>
  <c r="C183" i="6" s="1"/>
  <c r="I182" i="6"/>
  <c r="H182" i="6"/>
  <c r="G182" i="6"/>
  <c r="F182" i="6"/>
  <c r="E182" i="6"/>
  <c r="D182" i="6"/>
  <c r="B182" i="6"/>
  <c r="C182" i="6" s="1"/>
  <c r="I181" i="6"/>
  <c r="H181" i="6"/>
  <c r="G181" i="6"/>
  <c r="F181" i="6"/>
  <c r="E181" i="6"/>
  <c r="D181" i="6"/>
  <c r="B181" i="6"/>
  <c r="C181" i="6" s="1"/>
  <c r="I180" i="6"/>
  <c r="H180" i="6"/>
  <c r="G180" i="6"/>
  <c r="F180" i="6"/>
  <c r="E180" i="6"/>
  <c r="D180" i="6"/>
  <c r="B180" i="6"/>
  <c r="C180" i="6" s="1"/>
  <c r="I179" i="6"/>
  <c r="H179" i="6"/>
  <c r="G179" i="6"/>
  <c r="F179" i="6"/>
  <c r="E179" i="6"/>
  <c r="D179" i="6"/>
  <c r="B179" i="6"/>
  <c r="C179" i="6" s="1"/>
  <c r="I178" i="6"/>
  <c r="H178" i="6"/>
  <c r="G178" i="6"/>
  <c r="F178" i="6"/>
  <c r="E178" i="6"/>
  <c r="D178" i="6"/>
  <c r="B178" i="6"/>
  <c r="C178" i="6" s="1"/>
  <c r="I177" i="6"/>
  <c r="H177" i="6"/>
  <c r="G177" i="6"/>
  <c r="F177" i="6"/>
  <c r="E177" i="6"/>
  <c r="D177" i="6"/>
  <c r="B177" i="6"/>
  <c r="C177" i="6" s="1"/>
  <c r="I176" i="6"/>
  <c r="H176" i="6"/>
  <c r="G176" i="6"/>
  <c r="F176" i="6"/>
  <c r="E176" i="6"/>
  <c r="D176" i="6"/>
  <c r="B176" i="6"/>
  <c r="C176" i="6" s="1"/>
  <c r="I175" i="6"/>
  <c r="H175" i="6"/>
  <c r="G175" i="6"/>
  <c r="F175" i="6"/>
  <c r="E175" i="6"/>
  <c r="D175" i="6"/>
  <c r="B175" i="6"/>
  <c r="C175" i="6" s="1"/>
  <c r="I174" i="6"/>
  <c r="H174" i="6"/>
  <c r="G174" i="6"/>
  <c r="F174" i="6"/>
  <c r="E174" i="6"/>
  <c r="D174" i="6"/>
  <c r="B174" i="6"/>
  <c r="C174" i="6" s="1"/>
  <c r="I173" i="6"/>
  <c r="H173" i="6"/>
  <c r="G173" i="6"/>
  <c r="F173" i="6"/>
  <c r="E173" i="6"/>
  <c r="D173" i="6"/>
  <c r="B173" i="6"/>
  <c r="C173" i="6" s="1"/>
  <c r="I172" i="6"/>
  <c r="H172" i="6"/>
  <c r="G172" i="6"/>
  <c r="F172" i="6"/>
  <c r="E172" i="6"/>
  <c r="D172" i="6"/>
  <c r="B172" i="6"/>
  <c r="C172" i="6" s="1"/>
  <c r="I171" i="6"/>
  <c r="H171" i="6"/>
  <c r="G171" i="6"/>
  <c r="F171" i="6"/>
  <c r="E171" i="6"/>
  <c r="D171" i="6"/>
  <c r="B171" i="6"/>
  <c r="C171" i="6" s="1"/>
  <c r="I170" i="6"/>
  <c r="H170" i="6"/>
  <c r="G170" i="6"/>
  <c r="F170" i="6"/>
  <c r="E170" i="6"/>
  <c r="D170" i="6"/>
  <c r="B170" i="6"/>
  <c r="C170" i="6" s="1"/>
  <c r="I169" i="6"/>
  <c r="H169" i="6"/>
  <c r="G169" i="6"/>
  <c r="F169" i="6"/>
  <c r="E169" i="6"/>
  <c r="D169" i="6"/>
  <c r="B169" i="6"/>
  <c r="C169" i="6" s="1"/>
  <c r="I168" i="6"/>
  <c r="H168" i="6"/>
  <c r="G168" i="6"/>
  <c r="F168" i="6"/>
  <c r="E168" i="6"/>
  <c r="D168" i="6"/>
  <c r="B168" i="6"/>
  <c r="C168" i="6" s="1"/>
  <c r="I167" i="6"/>
  <c r="H167" i="6"/>
  <c r="G167" i="6"/>
  <c r="F167" i="6"/>
  <c r="E167" i="6"/>
  <c r="D167" i="6"/>
  <c r="B167" i="6"/>
  <c r="C167" i="6" s="1"/>
  <c r="I166" i="6"/>
  <c r="H166" i="6"/>
  <c r="G166" i="6"/>
  <c r="F166" i="6"/>
  <c r="E166" i="6"/>
  <c r="D166" i="6"/>
  <c r="B166" i="6"/>
  <c r="C166" i="6" s="1"/>
  <c r="I165" i="6"/>
  <c r="H165" i="6"/>
  <c r="G165" i="6"/>
  <c r="F165" i="6"/>
  <c r="E165" i="6"/>
  <c r="D165" i="6"/>
  <c r="B165" i="6"/>
  <c r="C165" i="6" s="1"/>
  <c r="I164" i="6"/>
  <c r="H164" i="6"/>
  <c r="G164" i="6"/>
  <c r="F164" i="6"/>
  <c r="E164" i="6"/>
  <c r="D164" i="6"/>
  <c r="B164" i="6"/>
  <c r="C164" i="6" s="1"/>
  <c r="I163" i="6"/>
  <c r="H163" i="6"/>
  <c r="G163" i="6"/>
  <c r="F163" i="6"/>
  <c r="E163" i="6"/>
  <c r="D163" i="6"/>
  <c r="B163" i="6"/>
  <c r="C163" i="6" s="1"/>
  <c r="I162" i="6"/>
  <c r="H162" i="6"/>
  <c r="G162" i="6"/>
  <c r="F162" i="6"/>
  <c r="E162" i="6"/>
  <c r="D162" i="6"/>
  <c r="B162" i="6"/>
  <c r="C162" i="6" s="1"/>
  <c r="I161" i="6"/>
  <c r="H161" i="6"/>
  <c r="G161" i="6"/>
  <c r="F161" i="6"/>
  <c r="E161" i="6"/>
  <c r="D161" i="6"/>
  <c r="B161" i="6"/>
  <c r="C161" i="6" s="1"/>
  <c r="I160" i="6"/>
  <c r="H160" i="6"/>
  <c r="G160" i="6"/>
  <c r="F160" i="6"/>
  <c r="E160" i="6"/>
  <c r="D160" i="6"/>
  <c r="B160" i="6"/>
  <c r="C160" i="6" s="1"/>
  <c r="I159" i="6"/>
  <c r="H159" i="6"/>
  <c r="G159" i="6"/>
  <c r="F159" i="6"/>
  <c r="E159" i="6"/>
  <c r="D159" i="6"/>
  <c r="B159" i="6"/>
  <c r="C159" i="6" s="1"/>
  <c r="I158" i="6"/>
  <c r="H158" i="6"/>
  <c r="G158" i="6"/>
  <c r="F158" i="6"/>
  <c r="E158" i="6"/>
  <c r="D158" i="6"/>
  <c r="B158" i="6"/>
  <c r="C158" i="6" s="1"/>
  <c r="I157" i="6"/>
  <c r="H157" i="6"/>
  <c r="G157" i="6"/>
  <c r="F157" i="6"/>
  <c r="E157" i="6"/>
  <c r="D157" i="6"/>
  <c r="B157" i="6"/>
  <c r="C157" i="6" s="1"/>
  <c r="I156" i="6"/>
  <c r="H156" i="6"/>
  <c r="G156" i="6"/>
  <c r="F156" i="6"/>
  <c r="E156" i="6"/>
  <c r="D156" i="6"/>
  <c r="B156" i="6"/>
  <c r="C156" i="6" s="1"/>
  <c r="I155" i="6"/>
  <c r="H155" i="6"/>
  <c r="G155" i="6"/>
  <c r="F155" i="6"/>
  <c r="E155" i="6"/>
  <c r="D155" i="6"/>
  <c r="B155" i="6"/>
  <c r="C155" i="6" s="1"/>
  <c r="I154" i="6"/>
  <c r="H154" i="6"/>
  <c r="G154" i="6"/>
  <c r="F154" i="6"/>
  <c r="E154" i="6"/>
  <c r="D154" i="6"/>
  <c r="B154" i="6"/>
  <c r="C154" i="6" s="1"/>
  <c r="I153" i="6"/>
  <c r="H153" i="6"/>
  <c r="G153" i="6"/>
  <c r="F153" i="6"/>
  <c r="E153" i="6"/>
  <c r="D153" i="6"/>
  <c r="B153" i="6"/>
  <c r="C153" i="6" s="1"/>
  <c r="I152" i="6"/>
  <c r="H152" i="6"/>
  <c r="G152" i="6"/>
  <c r="F152" i="6"/>
  <c r="E152" i="6"/>
  <c r="D152" i="6"/>
  <c r="B152" i="6"/>
  <c r="C152" i="6" s="1"/>
  <c r="I151" i="6"/>
  <c r="H151" i="6"/>
  <c r="G151" i="6"/>
  <c r="F151" i="6"/>
  <c r="E151" i="6"/>
  <c r="D151" i="6"/>
  <c r="B151" i="6"/>
  <c r="C151" i="6" s="1"/>
  <c r="I150" i="6"/>
  <c r="H150" i="6"/>
  <c r="G150" i="6"/>
  <c r="F150" i="6"/>
  <c r="E150" i="6"/>
  <c r="D150" i="6"/>
  <c r="B150" i="6"/>
  <c r="C150" i="6" s="1"/>
  <c r="I149" i="6"/>
  <c r="H149" i="6"/>
  <c r="G149" i="6"/>
  <c r="F149" i="6"/>
  <c r="E149" i="6"/>
  <c r="D149" i="6"/>
  <c r="B149" i="6"/>
  <c r="C149" i="6" s="1"/>
  <c r="I148" i="6"/>
  <c r="H148" i="6"/>
  <c r="G148" i="6"/>
  <c r="F148" i="6"/>
  <c r="E148" i="6"/>
  <c r="D148" i="6"/>
  <c r="B148" i="6"/>
  <c r="C148" i="6" s="1"/>
  <c r="I147" i="6"/>
  <c r="H147" i="6"/>
  <c r="G147" i="6"/>
  <c r="F147" i="6"/>
  <c r="E147" i="6"/>
  <c r="D147" i="6"/>
  <c r="B147" i="6"/>
  <c r="C147" i="6" s="1"/>
  <c r="I146" i="6"/>
  <c r="H146" i="6"/>
  <c r="G146" i="6"/>
  <c r="F146" i="6"/>
  <c r="E146" i="6"/>
  <c r="D146" i="6"/>
  <c r="B146" i="6"/>
  <c r="C146" i="6" s="1"/>
  <c r="I145" i="6"/>
  <c r="H145" i="6"/>
  <c r="G145" i="6"/>
  <c r="F145" i="6"/>
  <c r="E145" i="6"/>
  <c r="D145" i="6"/>
  <c r="B145" i="6"/>
  <c r="C145" i="6" s="1"/>
  <c r="I144" i="6"/>
  <c r="H144" i="6"/>
  <c r="G144" i="6"/>
  <c r="F144" i="6"/>
  <c r="E144" i="6"/>
  <c r="D144" i="6"/>
  <c r="B144" i="6"/>
  <c r="C144" i="6" s="1"/>
  <c r="I143" i="6"/>
  <c r="H143" i="6"/>
  <c r="G143" i="6"/>
  <c r="F143" i="6"/>
  <c r="E143" i="6"/>
  <c r="D143" i="6"/>
  <c r="B143" i="6"/>
  <c r="C143" i="6" s="1"/>
  <c r="I142" i="6"/>
  <c r="H142" i="6"/>
  <c r="G142" i="6"/>
  <c r="F142" i="6"/>
  <c r="E142" i="6"/>
  <c r="D142" i="6"/>
  <c r="B142" i="6"/>
  <c r="C142" i="6" s="1"/>
  <c r="I141" i="6"/>
  <c r="H141" i="6"/>
  <c r="G141" i="6"/>
  <c r="F141" i="6"/>
  <c r="E141" i="6"/>
  <c r="D141" i="6"/>
  <c r="B141" i="6"/>
  <c r="C141" i="6" s="1"/>
  <c r="I140" i="6"/>
  <c r="H140" i="6"/>
  <c r="G140" i="6"/>
  <c r="F140" i="6"/>
  <c r="E140" i="6"/>
  <c r="D140" i="6"/>
  <c r="B140" i="6"/>
  <c r="C140" i="6" s="1"/>
  <c r="I139" i="6"/>
  <c r="H139" i="6"/>
  <c r="G139" i="6"/>
  <c r="F139" i="6"/>
  <c r="E139" i="6"/>
  <c r="D139" i="6"/>
  <c r="B139" i="6"/>
  <c r="C139" i="6" s="1"/>
  <c r="I138" i="6"/>
  <c r="H138" i="6"/>
  <c r="G138" i="6"/>
  <c r="F138" i="6"/>
  <c r="E138" i="6"/>
  <c r="D138" i="6"/>
  <c r="B138" i="6"/>
  <c r="C138" i="6" s="1"/>
  <c r="I137" i="6"/>
  <c r="H137" i="6"/>
  <c r="G137" i="6"/>
  <c r="F137" i="6"/>
  <c r="E137" i="6"/>
  <c r="D137" i="6"/>
  <c r="B137" i="6"/>
  <c r="C137" i="6" s="1"/>
  <c r="I136" i="6"/>
  <c r="H136" i="6"/>
  <c r="G136" i="6"/>
  <c r="F136" i="6"/>
  <c r="E136" i="6"/>
  <c r="D136" i="6"/>
  <c r="B136" i="6"/>
  <c r="C136" i="6" s="1"/>
  <c r="I135" i="6"/>
  <c r="H135" i="6"/>
  <c r="G135" i="6"/>
  <c r="F135" i="6"/>
  <c r="E135" i="6"/>
  <c r="D135" i="6"/>
  <c r="B135" i="6"/>
  <c r="C135" i="6" s="1"/>
  <c r="I134" i="6"/>
  <c r="H134" i="6"/>
  <c r="G134" i="6"/>
  <c r="F134" i="6"/>
  <c r="E134" i="6"/>
  <c r="D134" i="6"/>
  <c r="B134" i="6"/>
  <c r="C134" i="6" s="1"/>
  <c r="I133" i="6"/>
  <c r="H133" i="6"/>
  <c r="G133" i="6"/>
  <c r="F133" i="6"/>
  <c r="E133" i="6"/>
  <c r="D133" i="6"/>
  <c r="B133" i="6"/>
  <c r="C133" i="6" s="1"/>
  <c r="I132" i="6"/>
  <c r="H132" i="6"/>
  <c r="G132" i="6"/>
  <c r="F132" i="6"/>
  <c r="E132" i="6"/>
  <c r="D132" i="6"/>
  <c r="B132" i="6"/>
  <c r="C132" i="6" s="1"/>
  <c r="I131" i="6"/>
  <c r="H131" i="6"/>
  <c r="G131" i="6"/>
  <c r="F131" i="6"/>
  <c r="E131" i="6"/>
  <c r="D131" i="6"/>
  <c r="B131" i="6"/>
  <c r="C131" i="6" s="1"/>
  <c r="I130" i="6"/>
  <c r="H130" i="6"/>
  <c r="G130" i="6"/>
  <c r="F130" i="6"/>
  <c r="E130" i="6"/>
  <c r="D130" i="6"/>
  <c r="B130" i="6"/>
  <c r="C130" i="6" s="1"/>
  <c r="I129" i="6"/>
  <c r="H129" i="6"/>
  <c r="G129" i="6"/>
  <c r="F129" i="6"/>
  <c r="E129" i="6"/>
  <c r="D129" i="6"/>
  <c r="B129" i="6"/>
  <c r="C129" i="6" s="1"/>
  <c r="I128" i="6"/>
  <c r="H128" i="6"/>
  <c r="G128" i="6"/>
  <c r="F128" i="6"/>
  <c r="E128" i="6"/>
  <c r="D128" i="6"/>
  <c r="B128" i="6"/>
  <c r="C128" i="6" s="1"/>
  <c r="I127" i="6"/>
  <c r="H127" i="6"/>
  <c r="G127" i="6"/>
  <c r="F127" i="6"/>
  <c r="E127" i="6"/>
  <c r="D127" i="6"/>
  <c r="B127" i="6"/>
  <c r="C127" i="6" s="1"/>
  <c r="I126" i="6"/>
  <c r="H126" i="6"/>
  <c r="G126" i="6"/>
  <c r="F126" i="6"/>
  <c r="E126" i="6"/>
  <c r="D126" i="6"/>
  <c r="B126" i="6"/>
  <c r="C126" i="6" s="1"/>
  <c r="I125" i="6"/>
  <c r="H125" i="6"/>
  <c r="G125" i="6"/>
  <c r="F125" i="6"/>
  <c r="E125" i="6"/>
  <c r="D125" i="6"/>
  <c r="B125" i="6"/>
  <c r="C125" i="6" s="1"/>
  <c r="I124" i="6"/>
  <c r="H124" i="6"/>
  <c r="G124" i="6"/>
  <c r="F124" i="6"/>
  <c r="E124" i="6"/>
  <c r="D124" i="6"/>
  <c r="B124" i="6"/>
  <c r="C124" i="6" s="1"/>
  <c r="I123" i="6"/>
  <c r="H123" i="6"/>
  <c r="G123" i="6"/>
  <c r="F123" i="6"/>
  <c r="E123" i="6"/>
  <c r="D123" i="6"/>
  <c r="B123" i="6"/>
  <c r="C123" i="6" s="1"/>
  <c r="I122" i="6"/>
  <c r="H122" i="6"/>
  <c r="G122" i="6"/>
  <c r="F122" i="6"/>
  <c r="E122" i="6"/>
  <c r="D122" i="6"/>
  <c r="B122" i="6"/>
  <c r="C122" i="6" s="1"/>
  <c r="I121" i="6"/>
  <c r="H121" i="6"/>
  <c r="G121" i="6"/>
  <c r="F121" i="6"/>
  <c r="E121" i="6"/>
  <c r="D121" i="6"/>
  <c r="B121" i="6"/>
  <c r="C121" i="6" s="1"/>
  <c r="I120" i="6"/>
  <c r="H120" i="6"/>
  <c r="G120" i="6"/>
  <c r="F120" i="6"/>
  <c r="E120" i="6"/>
  <c r="D120" i="6"/>
  <c r="B120" i="6"/>
  <c r="C120" i="6" s="1"/>
  <c r="I119" i="6"/>
  <c r="H119" i="6"/>
  <c r="G119" i="6"/>
  <c r="F119" i="6"/>
  <c r="E119" i="6"/>
  <c r="D119" i="6"/>
  <c r="B119" i="6"/>
  <c r="C119" i="6" s="1"/>
  <c r="I118" i="6"/>
  <c r="H118" i="6"/>
  <c r="G118" i="6"/>
  <c r="F118" i="6"/>
  <c r="E118" i="6"/>
  <c r="D118" i="6"/>
  <c r="B118" i="6"/>
  <c r="C118" i="6" s="1"/>
  <c r="I117" i="6"/>
  <c r="H117" i="6"/>
  <c r="G117" i="6"/>
  <c r="F117" i="6"/>
  <c r="E117" i="6"/>
  <c r="D117" i="6"/>
  <c r="B117" i="6"/>
  <c r="C117" i="6" s="1"/>
  <c r="I116" i="6"/>
  <c r="H116" i="6"/>
  <c r="G116" i="6"/>
  <c r="F116" i="6"/>
  <c r="E116" i="6"/>
  <c r="D116" i="6"/>
  <c r="B116" i="6"/>
  <c r="C116" i="6" s="1"/>
  <c r="I115" i="6"/>
  <c r="H115" i="6"/>
  <c r="G115" i="6"/>
  <c r="F115" i="6"/>
  <c r="E115" i="6"/>
  <c r="D115" i="6"/>
  <c r="B115" i="6"/>
  <c r="C115" i="6" s="1"/>
  <c r="I114" i="6"/>
  <c r="H114" i="6"/>
  <c r="G114" i="6"/>
  <c r="F114" i="6"/>
  <c r="E114" i="6"/>
  <c r="D114" i="6"/>
  <c r="B114" i="6"/>
  <c r="C114" i="6" s="1"/>
  <c r="I113" i="6"/>
  <c r="H113" i="6"/>
  <c r="G113" i="6"/>
  <c r="F113" i="6"/>
  <c r="E113" i="6"/>
  <c r="D113" i="6"/>
  <c r="B113" i="6"/>
  <c r="C113" i="6" s="1"/>
  <c r="I112" i="6"/>
  <c r="H112" i="6"/>
  <c r="G112" i="6"/>
  <c r="F112" i="6"/>
  <c r="E112" i="6"/>
  <c r="D112" i="6"/>
  <c r="B112" i="6"/>
  <c r="C112" i="6" s="1"/>
  <c r="I111" i="6"/>
  <c r="H111" i="6"/>
  <c r="G111" i="6"/>
  <c r="F111" i="6"/>
  <c r="E111" i="6"/>
  <c r="D111" i="6"/>
  <c r="B111" i="6"/>
  <c r="C111" i="6" s="1"/>
  <c r="I110" i="6"/>
  <c r="H110" i="6"/>
  <c r="G110" i="6"/>
  <c r="F110" i="6"/>
  <c r="E110" i="6"/>
  <c r="D110" i="6"/>
  <c r="B110" i="6"/>
  <c r="C110" i="6" s="1"/>
  <c r="I109" i="6"/>
  <c r="H109" i="6"/>
  <c r="G109" i="6"/>
  <c r="F109" i="6"/>
  <c r="E109" i="6"/>
  <c r="D109" i="6"/>
  <c r="B109" i="6"/>
  <c r="C109" i="6" s="1"/>
  <c r="I108" i="6"/>
  <c r="H108" i="6"/>
  <c r="G108" i="6"/>
  <c r="F108" i="6"/>
  <c r="E108" i="6"/>
  <c r="D108" i="6"/>
  <c r="B108" i="6"/>
  <c r="C108" i="6" s="1"/>
  <c r="I107" i="6"/>
  <c r="H107" i="6"/>
  <c r="G107" i="6"/>
  <c r="F107" i="6"/>
  <c r="E107" i="6"/>
  <c r="D107" i="6"/>
  <c r="B107" i="6"/>
  <c r="C107" i="6" s="1"/>
  <c r="I106" i="6"/>
  <c r="H106" i="6"/>
  <c r="G106" i="6"/>
  <c r="F106" i="6"/>
  <c r="E106" i="6"/>
  <c r="D106" i="6"/>
  <c r="B106" i="6"/>
  <c r="C106" i="6" s="1"/>
  <c r="I105" i="6"/>
  <c r="H105" i="6"/>
  <c r="G105" i="6"/>
  <c r="F105" i="6"/>
  <c r="E105" i="6"/>
  <c r="D105" i="6"/>
  <c r="B105" i="6"/>
  <c r="C105" i="6" s="1"/>
  <c r="I104" i="6"/>
  <c r="H104" i="6"/>
  <c r="G104" i="6"/>
  <c r="F104" i="6"/>
  <c r="E104" i="6"/>
  <c r="D104" i="6"/>
  <c r="B104" i="6"/>
  <c r="C104" i="6" s="1"/>
  <c r="I103" i="6"/>
  <c r="H103" i="6"/>
  <c r="G103" i="6"/>
  <c r="F103" i="6"/>
  <c r="E103" i="6"/>
  <c r="D103" i="6"/>
  <c r="B103" i="6"/>
  <c r="C103" i="6" s="1"/>
  <c r="I102" i="6"/>
  <c r="H102" i="6"/>
  <c r="G102" i="6"/>
  <c r="F102" i="6"/>
  <c r="E102" i="6"/>
  <c r="D102" i="6"/>
  <c r="B102" i="6"/>
  <c r="C102" i="6" s="1"/>
  <c r="I101" i="6"/>
  <c r="H101" i="6"/>
  <c r="G101" i="6"/>
  <c r="F101" i="6"/>
  <c r="E101" i="6"/>
  <c r="D101" i="6"/>
  <c r="B101" i="6"/>
  <c r="C101" i="6" s="1"/>
  <c r="I100" i="6"/>
  <c r="H100" i="6"/>
  <c r="G100" i="6"/>
  <c r="F100" i="6"/>
  <c r="E100" i="6"/>
  <c r="D100" i="6"/>
  <c r="B100" i="6"/>
  <c r="C100" i="6" s="1"/>
  <c r="I99" i="6"/>
  <c r="H99" i="6"/>
  <c r="G99" i="6"/>
  <c r="F99" i="6"/>
  <c r="E99" i="6"/>
  <c r="D99" i="6"/>
  <c r="B99" i="6"/>
  <c r="C99" i="6" s="1"/>
  <c r="I98" i="6"/>
  <c r="H98" i="6"/>
  <c r="G98" i="6"/>
  <c r="F98" i="6"/>
  <c r="E98" i="6"/>
  <c r="D98" i="6"/>
  <c r="B98" i="6"/>
  <c r="C98" i="6" s="1"/>
  <c r="I97" i="6"/>
  <c r="H97" i="6"/>
  <c r="G97" i="6"/>
  <c r="F97" i="6"/>
  <c r="E97" i="6"/>
  <c r="D97" i="6"/>
  <c r="B97" i="6"/>
  <c r="C97" i="6" s="1"/>
  <c r="I96" i="6"/>
  <c r="H96" i="6"/>
  <c r="G96" i="6"/>
  <c r="F96" i="6"/>
  <c r="E96" i="6"/>
  <c r="D96" i="6"/>
  <c r="B96" i="6"/>
  <c r="C96" i="6" s="1"/>
  <c r="I95" i="6"/>
  <c r="H95" i="6"/>
  <c r="G95" i="6"/>
  <c r="F95" i="6"/>
  <c r="E95" i="6"/>
  <c r="D95" i="6"/>
  <c r="B95" i="6"/>
  <c r="C95" i="6" s="1"/>
  <c r="I94" i="6"/>
  <c r="H94" i="6"/>
  <c r="G94" i="6"/>
  <c r="F94" i="6"/>
  <c r="E94" i="6"/>
  <c r="D94" i="6"/>
  <c r="B94" i="6"/>
  <c r="C94" i="6" s="1"/>
  <c r="I93" i="6"/>
  <c r="H93" i="6"/>
  <c r="G93" i="6"/>
  <c r="F93" i="6"/>
  <c r="E93" i="6"/>
  <c r="D93" i="6"/>
  <c r="B93" i="6"/>
  <c r="C93" i="6" s="1"/>
  <c r="I92" i="6"/>
  <c r="H92" i="6"/>
  <c r="G92" i="6"/>
  <c r="F92" i="6"/>
  <c r="E92" i="6"/>
  <c r="D92" i="6"/>
  <c r="B92" i="6"/>
  <c r="C92" i="6" s="1"/>
  <c r="I91" i="6"/>
  <c r="H91" i="6"/>
  <c r="G91" i="6"/>
  <c r="F91" i="6"/>
  <c r="E91" i="6"/>
  <c r="D91" i="6"/>
  <c r="B91" i="6"/>
  <c r="C91" i="6" s="1"/>
  <c r="I90" i="6"/>
  <c r="H90" i="6"/>
  <c r="G90" i="6"/>
  <c r="F90" i="6"/>
  <c r="E90" i="6"/>
  <c r="D90" i="6"/>
  <c r="B90" i="6"/>
  <c r="C90" i="6" s="1"/>
  <c r="I89" i="6"/>
  <c r="H89" i="6"/>
  <c r="G89" i="6"/>
  <c r="F89" i="6"/>
  <c r="E89" i="6"/>
  <c r="D89" i="6"/>
  <c r="B89" i="6"/>
  <c r="C89" i="6" s="1"/>
  <c r="I88" i="6"/>
  <c r="H88" i="6"/>
  <c r="G88" i="6"/>
  <c r="F88" i="6"/>
  <c r="E88" i="6"/>
  <c r="D88" i="6"/>
  <c r="B88" i="6"/>
  <c r="C88" i="6" s="1"/>
  <c r="I87" i="6"/>
  <c r="H87" i="6"/>
  <c r="G87" i="6"/>
  <c r="F87" i="6"/>
  <c r="E87" i="6"/>
  <c r="D87" i="6"/>
  <c r="B87" i="6"/>
  <c r="C87" i="6" s="1"/>
  <c r="I86" i="6"/>
  <c r="H86" i="6"/>
  <c r="G86" i="6"/>
  <c r="F86" i="6"/>
  <c r="E86" i="6"/>
  <c r="D86" i="6"/>
  <c r="B86" i="6"/>
  <c r="C86" i="6" s="1"/>
  <c r="I85" i="6"/>
  <c r="H85" i="6"/>
  <c r="G85" i="6"/>
  <c r="F85" i="6"/>
  <c r="E85" i="6"/>
  <c r="D85" i="6"/>
  <c r="B85" i="6"/>
  <c r="C85" i="6" s="1"/>
  <c r="I84" i="6"/>
  <c r="H84" i="6"/>
  <c r="G84" i="6"/>
  <c r="F84" i="6"/>
  <c r="E84" i="6"/>
  <c r="D84" i="6"/>
  <c r="B84" i="6"/>
  <c r="C84" i="6" s="1"/>
  <c r="I83" i="6"/>
  <c r="H83" i="6"/>
  <c r="G83" i="6"/>
  <c r="F83" i="6"/>
  <c r="E83" i="6"/>
  <c r="D83" i="6"/>
  <c r="B83" i="6"/>
  <c r="C83" i="6" s="1"/>
  <c r="I82" i="6"/>
  <c r="H82" i="6"/>
  <c r="G82" i="6"/>
  <c r="F82" i="6"/>
  <c r="E82" i="6"/>
  <c r="D82" i="6"/>
  <c r="B82" i="6"/>
  <c r="C82" i="6" s="1"/>
  <c r="I81" i="6"/>
  <c r="H81" i="6"/>
  <c r="G81" i="6"/>
  <c r="F81" i="6"/>
  <c r="E81" i="6"/>
  <c r="D81" i="6"/>
  <c r="B81" i="6"/>
  <c r="C81" i="6" s="1"/>
  <c r="I80" i="6"/>
  <c r="H80" i="6"/>
  <c r="G80" i="6"/>
  <c r="F80" i="6"/>
  <c r="E80" i="6"/>
  <c r="D80" i="6"/>
  <c r="B80" i="6"/>
  <c r="C80" i="6" s="1"/>
  <c r="I79" i="6"/>
  <c r="H79" i="6"/>
  <c r="G79" i="6"/>
  <c r="F79" i="6"/>
  <c r="E79" i="6"/>
  <c r="D79" i="6"/>
  <c r="B79" i="6"/>
  <c r="C79" i="6" s="1"/>
  <c r="I78" i="6"/>
  <c r="H78" i="6"/>
  <c r="G78" i="6"/>
  <c r="F78" i="6"/>
  <c r="E78" i="6"/>
  <c r="D78" i="6"/>
  <c r="B78" i="6"/>
  <c r="C78" i="6" s="1"/>
  <c r="I77" i="6"/>
  <c r="H77" i="6"/>
  <c r="G77" i="6"/>
  <c r="F77" i="6"/>
  <c r="E77" i="6"/>
  <c r="D77" i="6"/>
  <c r="B77" i="6"/>
  <c r="C77" i="6" s="1"/>
  <c r="I76" i="6"/>
  <c r="H76" i="6"/>
  <c r="G76" i="6"/>
  <c r="F76" i="6"/>
  <c r="E76" i="6"/>
  <c r="D76" i="6"/>
  <c r="B76" i="6"/>
  <c r="C76" i="6" s="1"/>
  <c r="I75" i="6"/>
  <c r="H75" i="6"/>
  <c r="G75" i="6"/>
  <c r="F75" i="6"/>
  <c r="E75" i="6"/>
  <c r="D75" i="6"/>
  <c r="B75" i="6"/>
  <c r="C75" i="6" s="1"/>
  <c r="I74" i="6"/>
  <c r="H74" i="6"/>
  <c r="G74" i="6"/>
  <c r="F74" i="6"/>
  <c r="E74" i="6"/>
  <c r="D74" i="6"/>
  <c r="B74" i="6"/>
  <c r="C74" i="6" s="1"/>
  <c r="I73" i="6"/>
  <c r="H73" i="6"/>
  <c r="G73" i="6"/>
  <c r="F73" i="6"/>
  <c r="E73" i="6"/>
  <c r="D73" i="6"/>
  <c r="B73" i="6"/>
  <c r="C73" i="6" s="1"/>
  <c r="I72" i="6"/>
  <c r="H72" i="6"/>
  <c r="G72" i="6"/>
  <c r="F72" i="6"/>
  <c r="E72" i="6"/>
  <c r="D72" i="6"/>
  <c r="B72" i="6"/>
  <c r="C72" i="6" s="1"/>
  <c r="I71" i="6"/>
  <c r="H71" i="6"/>
  <c r="G71" i="6"/>
  <c r="F71" i="6"/>
  <c r="E71" i="6"/>
  <c r="D71" i="6"/>
  <c r="B71" i="6"/>
  <c r="C71" i="6" s="1"/>
  <c r="I70" i="6"/>
  <c r="H70" i="6"/>
  <c r="G70" i="6"/>
  <c r="F70" i="6"/>
  <c r="E70" i="6"/>
  <c r="D70" i="6"/>
  <c r="B70" i="6"/>
  <c r="C70" i="6" s="1"/>
  <c r="I69" i="6"/>
  <c r="H69" i="6"/>
  <c r="G69" i="6"/>
  <c r="F69" i="6"/>
  <c r="E69" i="6"/>
  <c r="D69" i="6"/>
  <c r="B69" i="6"/>
  <c r="C69" i="6" s="1"/>
  <c r="I68" i="6"/>
  <c r="H68" i="6"/>
  <c r="G68" i="6"/>
  <c r="F68" i="6"/>
  <c r="E68" i="6"/>
  <c r="D68" i="6"/>
  <c r="B68" i="6"/>
  <c r="C68" i="6" s="1"/>
  <c r="I67" i="6"/>
  <c r="H67" i="6"/>
  <c r="G67" i="6"/>
  <c r="F67" i="6"/>
  <c r="E67" i="6"/>
  <c r="D67" i="6"/>
  <c r="B67" i="6"/>
  <c r="C67" i="6" s="1"/>
  <c r="I66" i="6"/>
  <c r="H66" i="6"/>
  <c r="G66" i="6"/>
  <c r="F66" i="6"/>
  <c r="E66" i="6"/>
  <c r="D66" i="6"/>
  <c r="B66" i="6"/>
  <c r="C66" i="6" s="1"/>
  <c r="I65" i="6"/>
  <c r="H65" i="6"/>
  <c r="G65" i="6"/>
  <c r="F65" i="6"/>
  <c r="E65" i="6"/>
  <c r="D65" i="6"/>
  <c r="B65" i="6"/>
  <c r="C65" i="6" s="1"/>
  <c r="I64" i="6"/>
  <c r="H64" i="6"/>
  <c r="G64" i="6"/>
  <c r="F64" i="6"/>
  <c r="E64" i="6"/>
  <c r="D64" i="6"/>
  <c r="B64" i="6"/>
  <c r="C64" i="6" s="1"/>
  <c r="I63" i="6"/>
  <c r="H63" i="6"/>
  <c r="G63" i="6"/>
  <c r="F63" i="6"/>
  <c r="E63" i="6"/>
  <c r="D63" i="6"/>
  <c r="B63" i="6"/>
  <c r="C63" i="6" s="1"/>
  <c r="I62" i="6"/>
  <c r="H62" i="6"/>
  <c r="G62" i="6"/>
  <c r="F62" i="6"/>
  <c r="E62" i="6"/>
  <c r="D62" i="6"/>
  <c r="B62" i="6"/>
  <c r="C62" i="6" s="1"/>
  <c r="I61" i="6"/>
  <c r="H61" i="6"/>
  <c r="G61" i="6"/>
  <c r="F61" i="6"/>
  <c r="E61" i="6"/>
  <c r="D61" i="6"/>
  <c r="B61" i="6"/>
  <c r="C61" i="6" s="1"/>
  <c r="I60" i="6"/>
  <c r="H60" i="6"/>
  <c r="G60" i="6"/>
  <c r="F60" i="6"/>
  <c r="E60" i="6"/>
  <c r="D60" i="6"/>
  <c r="B60" i="6"/>
  <c r="C60" i="6" s="1"/>
  <c r="I59" i="6"/>
  <c r="H59" i="6"/>
  <c r="G59" i="6"/>
  <c r="F59" i="6"/>
  <c r="E59" i="6"/>
  <c r="D59" i="6"/>
  <c r="B59" i="6"/>
  <c r="C59" i="6" s="1"/>
  <c r="I58" i="6"/>
  <c r="H58" i="6"/>
  <c r="G58" i="6"/>
  <c r="F58" i="6"/>
  <c r="E58" i="6"/>
  <c r="D58" i="6"/>
  <c r="B58" i="6"/>
  <c r="C58" i="6" s="1"/>
  <c r="I57" i="6"/>
  <c r="H57" i="6"/>
  <c r="G57" i="6"/>
  <c r="F57" i="6"/>
  <c r="E57" i="6"/>
  <c r="D57" i="6"/>
  <c r="B57" i="6"/>
  <c r="C57" i="6" s="1"/>
  <c r="I56" i="6"/>
  <c r="H56" i="6"/>
  <c r="G56" i="6"/>
  <c r="F56" i="6"/>
  <c r="E56" i="6"/>
  <c r="D56" i="6"/>
  <c r="B56" i="6"/>
  <c r="C56" i="6" s="1"/>
  <c r="I55" i="6"/>
  <c r="H55" i="6"/>
  <c r="G55" i="6"/>
  <c r="F55" i="6"/>
  <c r="E55" i="6"/>
  <c r="D55" i="6"/>
  <c r="B55" i="6"/>
  <c r="C55" i="6" s="1"/>
  <c r="I54" i="6"/>
  <c r="H54" i="6"/>
  <c r="G54" i="6"/>
  <c r="F54" i="6"/>
  <c r="E54" i="6"/>
  <c r="D54" i="6"/>
  <c r="B54" i="6"/>
  <c r="C54" i="6" s="1"/>
  <c r="I53" i="6"/>
  <c r="H53" i="6"/>
  <c r="G53" i="6"/>
  <c r="F53" i="6"/>
  <c r="E53" i="6"/>
  <c r="D53" i="6"/>
  <c r="B53" i="6"/>
  <c r="C53" i="6" s="1"/>
  <c r="I52" i="6"/>
  <c r="H52" i="6"/>
  <c r="G52" i="6"/>
  <c r="F52" i="6"/>
  <c r="E52" i="6"/>
  <c r="D52" i="6"/>
  <c r="B52" i="6"/>
  <c r="C52" i="6" s="1"/>
  <c r="I51" i="6"/>
  <c r="H51" i="6"/>
  <c r="G51" i="6"/>
  <c r="F51" i="6"/>
  <c r="E51" i="6"/>
  <c r="D51" i="6"/>
  <c r="B51" i="6"/>
  <c r="C51" i="6" s="1"/>
  <c r="I50" i="6"/>
  <c r="H50" i="6"/>
  <c r="G50" i="6"/>
  <c r="F50" i="6"/>
  <c r="E50" i="6"/>
  <c r="D50" i="6"/>
  <c r="B50" i="6"/>
  <c r="C50" i="6" s="1"/>
  <c r="I49" i="6"/>
  <c r="H49" i="6"/>
  <c r="G49" i="6"/>
  <c r="F49" i="6"/>
  <c r="E49" i="6"/>
  <c r="D49" i="6"/>
  <c r="B49" i="6"/>
  <c r="C49" i="6" s="1"/>
  <c r="I48" i="6"/>
  <c r="H48" i="6"/>
  <c r="G48" i="6"/>
  <c r="F48" i="6"/>
  <c r="E48" i="6"/>
  <c r="D48" i="6"/>
  <c r="B48" i="6"/>
  <c r="C48" i="6" s="1"/>
  <c r="I47" i="6"/>
  <c r="H47" i="6"/>
  <c r="G47" i="6"/>
  <c r="F47" i="6"/>
  <c r="E47" i="6"/>
  <c r="D47" i="6"/>
  <c r="B47" i="6"/>
  <c r="C47" i="6" s="1"/>
  <c r="I46" i="6"/>
  <c r="H46" i="6"/>
  <c r="G46" i="6"/>
  <c r="F46" i="6"/>
  <c r="E46" i="6"/>
  <c r="D46" i="6"/>
  <c r="B46" i="6"/>
  <c r="C46" i="6" s="1"/>
  <c r="I45" i="6"/>
  <c r="H45" i="6"/>
  <c r="G45" i="6"/>
  <c r="F45" i="6"/>
  <c r="E45" i="6"/>
  <c r="D45" i="6"/>
  <c r="B45" i="6"/>
  <c r="C45" i="6" s="1"/>
  <c r="I44" i="6"/>
  <c r="H44" i="6"/>
  <c r="G44" i="6"/>
  <c r="F44" i="6"/>
  <c r="E44" i="6"/>
  <c r="D44" i="6"/>
  <c r="B44" i="6"/>
  <c r="C44" i="6" s="1"/>
  <c r="I43" i="6"/>
  <c r="H43" i="6"/>
  <c r="G43" i="6"/>
  <c r="F43" i="6"/>
  <c r="E43" i="6"/>
  <c r="D43" i="6"/>
  <c r="B43" i="6"/>
  <c r="C43" i="6" s="1"/>
  <c r="I42" i="6"/>
  <c r="H42" i="6"/>
  <c r="G42" i="6"/>
  <c r="F42" i="6"/>
  <c r="E42" i="6"/>
  <c r="D42" i="6"/>
  <c r="B42" i="6"/>
  <c r="C42" i="6" s="1"/>
  <c r="I41" i="6"/>
  <c r="H41" i="6"/>
  <c r="G41" i="6"/>
  <c r="F41" i="6"/>
  <c r="E41" i="6"/>
  <c r="D41" i="6"/>
  <c r="B41" i="6"/>
  <c r="C41" i="6" s="1"/>
  <c r="I40" i="6"/>
  <c r="H40" i="6"/>
  <c r="G40" i="6"/>
  <c r="F40" i="6"/>
  <c r="E40" i="6"/>
  <c r="D40" i="6"/>
  <c r="B40" i="6"/>
  <c r="C40" i="6" s="1"/>
  <c r="I39" i="6"/>
  <c r="H39" i="6"/>
  <c r="G39" i="6"/>
  <c r="F39" i="6"/>
  <c r="E39" i="6"/>
  <c r="D39" i="6"/>
  <c r="B39" i="6"/>
  <c r="C39" i="6" s="1"/>
  <c r="I38" i="6"/>
  <c r="H38" i="6"/>
  <c r="G38" i="6"/>
  <c r="F38" i="6"/>
  <c r="E38" i="6"/>
  <c r="D38" i="6"/>
  <c r="B38" i="6"/>
  <c r="C38" i="6" s="1"/>
  <c r="I37" i="6"/>
  <c r="H37" i="6"/>
  <c r="G37" i="6"/>
  <c r="F37" i="6"/>
  <c r="E37" i="6"/>
  <c r="D37" i="6"/>
  <c r="B37" i="6"/>
  <c r="C37" i="6" s="1"/>
  <c r="I36" i="6"/>
  <c r="H36" i="6"/>
  <c r="G36" i="6"/>
  <c r="F36" i="6"/>
  <c r="E36" i="6"/>
  <c r="D36" i="6"/>
  <c r="B36" i="6"/>
  <c r="C36" i="6" s="1"/>
  <c r="I35" i="6"/>
  <c r="H35" i="6"/>
  <c r="G35" i="6"/>
  <c r="F35" i="6"/>
  <c r="E35" i="6"/>
  <c r="D35" i="6"/>
  <c r="B35" i="6"/>
  <c r="C35" i="6" s="1"/>
  <c r="I34" i="6"/>
  <c r="H34" i="6"/>
  <c r="G34" i="6"/>
  <c r="F34" i="6"/>
  <c r="E34" i="6"/>
  <c r="D34" i="6"/>
  <c r="B34" i="6"/>
  <c r="C34" i="6" s="1"/>
  <c r="I33" i="6"/>
  <c r="H33" i="6"/>
  <c r="G33" i="6"/>
  <c r="F33" i="6"/>
  <c r="E33" i="6"/>
  <c r="D33" i="6"/>
  <c r="B33" i="6"/>
  <c r="C33" i="6" s="1"/>
  <c r="I32" i="6"/>
  <c r="H32" i="6"/>
  <c r="G32" i="6"/>
  <c r="F32" i="6"/>
  <c r="E32" i="6"/>
  <c r="D32" i="6"/>
  <c r="B32" i="6"/>
  <c r="C32" i="6" s="1"/>
  <c r="I31" i="6"/>
  <c r="H31" i="6"/>
  <c r="G31" i="6"/>
  <c r="F31" i="6"/>
  <c r="E31" i="6"/>
  <c r="D31" i="6"/>
  <c r="B31" i="6"/>
  <c r="C31" i="6" s="1"/>
  <c r="I30" i="6"/>
  <c r="H30" i="6"/>
  <c r="G30" i="6"/>
  <c r="F30" i="6"/>
  <c r="E30" i="6"/>
  <c r="D30" i="6"/>
  <c r="B30" i="6"/>
  <c r="C30" i="6" s="1"/>
  <c r="I29" i="6"/>
  <c r="H29" i="6"/>
  <c r="G29" i="6"/>
  <c r="F29" i="6"/>
  <c r="E29" i="6"/>
  <c r="D29" i="6"/>
  <c r="B29" i="6"/>
  <c r="C29" i="6" s="1"/>
  <c r="I28" i="6"/>
  <c r="H28" i="6"/>
  <c r="G28" i="6"/>
  <c r="F28" i="6"/>
  <c r="E28" i="6"/>
  <c r="D28" i="6"/>
  <c r="B28" i="6"/>
  <c r="C28" i="6" s="1"/>
  <c r="I27" i="6"/>
  <c r="H27" i="6"/>
  <c r="G27" i="6"/>
  <c r="F27" i="6"/>
  <c r="E27" i="6"/>
  <c r="D27" i="6"/>
  <c r="L27" i="6" s="1"/>
  <c r="B27" i="6"/>
  <c r="C27" i="6" s="1"/>
  <c r="I26" i="6"/>
  <c r="H26" i="6"/>
  <c r="G26" i="6"/>
  <c r="F26" i="6"/>
  <c r="E26" i="6"/>
  <c r="D26" i="6"/>
  <c r="B26" i="6"/>
  <c r="C26" i="6" s="1"/>
  <c r="I25" i="6"/>
  <c r="H25" i="6"/>
  <c r="G25" i="6"/>
  <c r="F25" i="6"/>
  <c r="E25" i="6"/>
  <c r="D25" i="6"/>
  <c r="B25" i="6"/>
  <c r="C25" i="6" s="1"/>
  <c r="I24" i="6"/>
  <c r="H24" i="6"/>
  <c r="G24" i="6"/>
  <c r="F24" i="6"/>
  <c r="E24" i="6"/>
  <c r="D24" i="6"/>
  <c r="B24" i="6"/>
  <c r="C24" i="6" s="1"/>
  <c r="I23" i="6"/>
  <c r="H23" i="6"/>
  <c r="G23" i="6"/>
  <c r="F23" i="6"/>
  <c r="E23" i="6"/>
  <c r="D23" i="6"/>
  <c r="B23" i="6"/>
  <c r="C23" i="6" s="1"/>
  <c r="I22" i="6"/>
  <c r="H22" i="6"/>
  <c r="G22" i="6"/>
  <c r="F22" i="6"/>
  <c r="E22" i="6"/>
  <c r="D22" i="6"/>
  <c r="B22" i="6"/>
  <c r="C22" i="6" s="1"/>
  <c r="I21" i="6"/>
  <c r="H21" i="6"/>
  <c r="G21" i="6"/>
  <c r="F21" i="6"/>
  <c r="E21" i="6"/>
  <c r="D21" i="6"/>
  <c r="B21" i="6"/>
  <c r="C21" i="6" s="1"/>
  <c r="I20" i="6"/>
  <c r="H20" i="6"/>
  <c r="G20" i="6"/>
  <c r="F20" i="6"/>
  <c r="E20" i="6"/>
  <c r="D20" i="6"/>
  <c r="B20" i="6"/>
  <c r="C20" i="6" s="1"/>
  <c r="I19" i="6"/>
  <c r="H19" i="6"/>
  <c r="G19" i="6"/>
  <c r="F19" i="6"/>
  <c r="E19" i="6"/>
  <c r="D19" i="6"/>
  <c r="B19" i="6"/>
  <c r="C19" i="6" s="1"/>
  <c r="I18" i="6"/>
  <c r="H18" i="6"/>
  <c r="G18" i="6"/>
  <c r="F18" i="6"/>
  <c r="E18" i="6"/>
  <c r="D18" i="6"/>
  <c r="B18" i="6"/>
  <c r="C18" i="6" s="1"/>
  <c r="I17" i="6"/>
  <c r="H17" i="6"/>
  <c r="G17" i="6"/>
  <c r="F17" i="6"/>
  <c r="E17" i="6"/>
  <c r="D17" i="6"/>
  <c r="B17" i="6"/>
  <c r="C17" i="6" s="1"/>
  <c r="I16" i="6"/>
  <c r="H16" i="6"/>
  <c r="G16" i="6"/>
  <c r="F16" i="6"/>
  <c r="E16" i="6"/>
  <c r="D16" i="6"/>
  <c r="B16" i="6"/>
  <c r="C16" i="6" s="1"/>
  <c r="I15" i="6"/>
  <c r="H15" i="6"/>
  <c r="G15" i="6"/>
  <c r="F15" i="6"/>
  <c r="E15" i="6"/>
  <c r="D15" i="6"/>
  <c r="B15" i="6"/>
  <c r="C15" i="6" s="1"/>
  <c r="I14" i="6"/>
  <c r="H14" i="6"/>
  <c r="G14" i="6"/>
  <c r="F14" i="6"/>
  <c r="E14" i="6"/>
  <c r="D14" i="6"/>
  <c r="B14" i="6"/>
  <c r="C14" i="6" s="1"/>
  <c r="I13" i="6"/>
  <c r="H13" i="6"/>
  <c r="G13" i="6"/>
  <c r="F13" i="6"/>
  <c r="E13" i="6"/>
  <c r="D13" i="6"/>
  <c r="B13" i="6"/>
  <c r="C13" i="6" s="1"/>
  <c r="I12" i="6"/>
  <c r="H12" i="6"/>
  <c r="G12" i="6"/>
  <c r="F12" i="6"/>
  <c r="E12" i="6"/>
  <c r="D12" i="6"/>
  <c r="B12" i="6"/>
  <c r="C12" i="6" s="1"/>
  <c r="I11" i="6"/>
  <c r="H11" i="6"/>
  <c r="G11" i="6"/>
  <c r="F11" i="6"/>
  <c r="E11" i="6"/>
  <c r="D11" i="6"/>
  <c r="B11" i="6"/>
  <c r="C11" i="6" s="1"/>
  <c r="I10" i="6"/>
  <c r="H10" i="6"/>
  <c r="G10" i="6"/>
  <c r="F10" i="6"/>
  <c r="E10" i="6"/>
  <c r="D10" i="6"/>
  <c r="B10" i="6"/>
  <c r="C10" i="6" s="1"/>
  <c r="I9" i="6"/>
  <c r="H9" i="6"/>
  <c r="G9" i="6"/>
  <c r="F9" i="6"/>
  <c r="E9" i="6"/>
  <c r="D9" i="6"/>
  <c r="B9" i="6"/>
  <c r="C9" i="6" s="1"/>
  <c r="I8" i="6"/>
  <c r="H8" i="6"/>
  <c r="G8" i="6"/>
  <c r="F8" i="6"/>
  <c r="E8" i="6"/>
  <c r="D8" i="6"/>
  <c r="B8" i="6"/>
  <c r="C8" i="6" s="1"/>
  <c r="I7" i="6"/>
  <c r="H7" i="6"/>
  <c r="G7" i="6"/>
  <c r="F7" i="6"/>
  <c r="E7" i="6"/>
  <c r="D7" i="6"/>
  <c r="B7" i="6"/>
  <c r="C7" i="6" s="1"/>
  <c r="I6" i="6"/>
  <c r="H6" i="6"/>
  <c r="G6" i="6"/>
  <c r="F6" i="6"/>
  <c r="E6" i="6"/>
  <c r="D6" i="6"/>
  <c r="B6" i="6"/>
  <c r="C6" i="6" s="1"/>
  <c r="I5" i="6"/>
  <c r="H5" i="6"/>
  <c r="G5" i="6"/>
  <c r="F5" i="6"/>
  <c r="E5" i="6"/>
  <c r="D5" i="6"/>
  <c r="B5" i="6"/>
  <c r="C5" i="6" s="1"/>
  <c r="C28" i="5"/>
  <c r="B28" i="5"/>
  <c r="D28" i="5" s="1"/>
  <c r="C27" i="5"/>
  <c r="B27" i="5"/>
  <c r="D27" i="5" s="1"/>
  <c r="C26" i="5"/>
  <c r="B26" i="5"/>
  <c r="D26" i="5" s="1"/>
  <c r="C25" i="5"/>
  <c r="B25" i="5"/>
  <c r="D25" i="5" s="1"/>
  <c r="C24" i="5"/>
  <c r="B24" i="5"/>
  <c r="D24" i="5" s="1"/>
  <c r="D20" i="5"/>
  <c r="C20" i="5"/>
  <c r="B20" i="5"/>
  <c r="D19" i="5"/>
  <c r="C19" i="5"/>
  <c r="B19" i="5"/>
  <c r="E19" i="5" s="1"/>
  <c r="D18" i="5"/>
  <c r="C18" i="5"/>
  <c r="B18" i="5"/>
  <c r="E18" i="5" s="1"/>
  <c r="D17" i="5"/>
  <c r="C17" i="5"/>
  <c r="B17" i="5"/>
  <c r="E17" i="5" s="1"/>
  <c r="D16" i="5"/>
  <c r="C16" i="5"/>
  <c r="B16" i="5"/>
  <c r="E16" i="5" s="1"/>
  <c r="D15" i="5"/>
  <c r="C15" i="5"/>
  <c r="B15" i="5"/>
  <c r="E15" i="5" s="1"/>
  <c r="D11" i="5"/>
  <c r="C11" i="5"/>
  <c r="B11" i="5"/>
  <c r="D10" i="5"/>
  <c r="C10" i="5"/>
  <c r="B10" i="5"/>
  <c r="E10" i="5" s="1"/>
  <c r="D9" i="5"/>
  <c r="C9" i="5"/>
  <c r="B9" i="5"/>
  <c r="E9" i="5" s="1"/>
  <c r="D8" i="5"/>
  <c r="C8" i="5"/>
  <c r="B8" i="5"/>
  <c r="E8" i="5" s="1"/>
  <c r="D7" i="5"/>
  <c r="C7" i="5"/>
  <c r="B7" i="5"/>
  <c r="E7" i="5" s="1"/>
  <c r="D6" i="5"/>
  <c r="C6" i="5"/>
  <c r="B6" i="5"/>
  <c r="E6" i="5" s="1"/>
  <c r="D13" i="4"/>
  <c r="C13" i="4"/>
  <c r="B13" i="4"/>
  <c r="D12" i="4"/>
  <c r="C12" i="4"/>
  <c r="B12" i="4"/>
  <c r="D11" i="4"/>
  <c r="C11" i="4"/>
  <c r="B11" i="4"/>
  <c r="B45" i="3"/>
  <c r="B63" i="3" s="1"/>
  <c r="G43" i="3"/>
  <c r="D43" i="3"/>
  <c r="B43" i="3"/>
  <c r="G42" i="3"/>
  <c r="D42" i="3"/>
  <c r="B42" i="3"/>
  <c r="G41" i="3"/>
  <c r="D41" i="3"/>
  <c r="B41" i="3"/>
  <c r="B37" i="3"/>
  <c r="B62" i="3" s="1"/>
  <c r="D35" i="3"/>
  <c r="C35" i="3"/>
  <c r="B35" i="3"/>
  <c r="D34" i="3"/>
  <c r="C34" i="3"/>
  <c r="B34" i="3"/>
  <c r="D33" i="3"/>
  <c r="D36" i="3" s="1"/>
  <c r="C33" i="3"/>
  <c r="B33" i="3"/>
  <c r="G27" i="3"/>
  <c r="B26" i="3"/>
  <c r="C26" i="3" s="1"/>
  <c r="B25" i="3"/>
  <c r="C25" i="3" s="1"/>
  <c r="B24" i="3"/>
  <c r="C24" i="3" s="1"/>
  <c r="G18" i="3"/>
  <c r="B17" i="3"/>
  <c r="C17" i="3" s="1"/>
  <c r="D17" i="3" s="1"/>
  <c r="B16" i="3"/>
  <c r="C16" i="3" s="1"/>
  <c r="D16" i="3" s="1"/>
  <c r="B15" i="3"/>
  <c r="C15" i="3" s="1"/>
  <c r="D15" i="3" s="1"/>
  <c r="G9" i="3"/>
  <c r="B8" i="3"/>
  <c r="C8" i="3" s="1"/>
  <c r="D8" i="3" s="1"/>
  <c r="B7" i="3"/>
  <c r="C7" i="3" s="1"/>
  <c r="D7" i="3" s="1"/>
  <c r="B6" i="3"/>
  <c r="C6" i="3" s="1"/>
  <c r="D6" i="3" s="1"/>
  <c r="L259" i="6" l="1"/>
  <c r="J259" i="6"/>
  <c r="K259" i="6"/>
  <c r="L120" i="6"/>
  <c r="K120" i="6"/>
  <c r="J120" i="6"/>
  <c r="L304" i="6"/>
  <c r="K304" i="6"/>
  <c r="J304" i="6"/>
  <c r="L303" i="6"/>
  <c r="K303" i="6"/>
  <c r="J303" i="6"/>
  <c r="L302" i="6"/>
  <c r="K302" i="6"/>
  <c r="J302" i="6"/>
  <c r="J301" i="6"/>
  <c r="K301" i="6"/>
  <c r="L301" i="6"/>
  <c r="K300" i="6"/>
  <c r="J300" i="6"/>
  <c r="L300" i="6"/>
  <c r="J299" i="6"/>
  <c r="L299" i="6"/>
  <c r="K299" i="6"/>
  <c r="J298" i="6"/>
  <c r="K298" i="6"/>
  <c r="L298" i="6"/>
  <c r="L297" i="6"/>
  <c r="K297" i="6"/>
  <c r="J297" i="6"/>
  <c r="L296" i="6"/>
  <c r="K296" i="6"/>
  <c r="J296" i="6"/>
  <c r="J295" i="6"/>
  <c r="L295" i="6"/>
  <c r="K295" i="6"/>
  <c r="L294" i="6"/>
  <c r="K294" i="6"/>
  <c r="J294" i="6"/>
  <c r="J293" i="6"/>
  <c r="K293" i="6"/>
  <c r="L293" i="6"/>
  <c r="L292" i="6"/>
  <c r="K292" i="6"/>
  <c r="J292" i="6"/>
  <c r="L291" i="6"/>
  <c r="K291" i="6"/>
  <c r="J291" i="6"/>
  <c r="J290" i="6"/>
  <c r="K290" i="6"/>
  <c r="L290" i="6"/>
  <c r="K289" i="6"/>
  <c r="L289" i="6"/>
  <c r="J289" i="6"/>
  <c r="L288" i="6"/>
  <c r="K288" i="6"/>
  <c r="J288" i="6"/>
  <c r="L287" i="6"/>
  <c r="K287" i="6"/>
  <c r="J287" i="6"/>
  <c r="L286" i="6"/>
  <c r="K286" i="6"/>
  <c r="J286" i="6"/>
  <c r="K285" i="6"/>
  <c r="L285" i="6"/>
  <c r="J285" i="6"/>
  <c r="L284" i="6"/>
  <c r="J284" i="6"/>
  <c r="K284" i="6"/>
  <c r="L283" i="6"/>
  <c r="K283" i="6"/>
  <c r="J283" i="6"/>
  <c r="J282" i="6"/>
  <c r="L282" i="6"/>
  <c r="K282" i="6"/>
  <c r="L281" i="6"/>
  <c r="K281" i="6"/>
  <c r="J281" i="6"/>
  <c r="L280" i="6"/>
  <c r="K280" i="6"/>
  <c r="J280" i="6"/>
  <c r="J279" i="6"/>
  <c r="K279" i="6"/>
  <c r="L279" i="6"/>
  <c r="J278" i="6"/>
  <c r="K278" i="6"/>
  <c r="L278" i="6"/>
  <c r="J277" i="6"/>
  <c r="K277" i="6"/>
  <c r="L277" i="6"/>
  <c r="J276" i="6"/>
  <c r="K276" i="6"/>
  <c r="L276" i="6"/>
  <c r="K275" i="6"/>
  <c r="J275" i="6"/>
  <c r="L275" i="6"/>
  <c r="L274" i="6"/>
  <c r="K274" i="6"/>
  <c r="J274" i="6"/>
  <c r="J273" i="6"/>
  <c r="K273" i="6"/>
  <c r="L273" i="6"/>
  <c r="L272" i="6"/>
  <c r="J272" i="6"/>
  <c r="K272" i="6"/>
  <c r="L271" i="6"/>
  <c r="J271" i="6"/>
  <c r="K271" i="6"/>
  <c r="L270" i="6"/>
  <c r="K270" i="6"/>
  <c r="J270" i="6"/>
  <c r="K269" i="6"/>
  <c r="J269" i="6"/>
  <c r="L269" i="6"/>
  <c r="K268" i="6"/>
  <c r="J268" i="6"/>
  <c r="L268" i="6"/>
  <c r="J267" i="6"/>
  <c r="L267" i="6"/>
  <c r="K267" i="6"/>
  <c r="L266" i="6"/>
  <c r="K266" i="6"/>
  <c r="J266" i="6"/>
  <c r="K265" i="6"/>
  <c r="L265" i="6"/>
  <c r="J265" i="6"/>
  <c r="J264" i="6"/>
  <c r="K264" i="6"/>
  <c r="L264" i="6"/>
  <c r="K263" i="6"/>
  <c r="J263" i="6"/>
  <c r="L263" i="6"/>
  <c r="L262" i="6"/>
  <c r="J262" i="6"/>
  <c r="K262" i="6"/>
  <c r="J261" i="6"/>
  <c r="K261" i="6"/>
  <c r="L261" i="6"/>
  <c r="L260" i="6"/>
  <c r="K260" i="6"/>
  <c r="J260" i="6"/>
  <c r="J258" i="6"/>
  <c r="L258" i="6"/>
  <c r="K258" i="6"/>
  <c r="J257" i="6"/>
  <c r="K257" i="6"/>
  <c r="L257" i="6"/>
  <c r="J256" i="6"/>
  <c r="L256" i="6"/>
  <c r="K256" i="6"/>
  <c r="L255" i="6"/>
  <c r="J255" i="6"/>
  <c r="K255" i="6"/>
  <c r="J254" i="6"/>
  <c r="K254" i="6"/>
  <c r="L254" i="6"/>
  <c r="J253" i="6"/>
  <c r="L253" i="6"/>
  <c r="K253" i="6"/>
  <c r="J252" i="6"/>
  <c r="K252" i="6"/>
  <c r="L252" i="6"/>
  <c r="J251" i="6"/>
  <c r="K251" i="6"/>
  <c r="L251" i="6"/>
  <c r="L250" i="6"/>
  <c r="K250" i="6"/>
  <c r="J250" i="6"/>
  <c r="J249" i="6"/>
  <c r="K249" i="6"/>
  <c r="L249" i="6"/>
  <c r="L248" i="6"/>
  <c r="K248" i="6"/>
  <c r="J248" i="6"/>
  <c r="L247" i="6"/>
  <c r="K247" i="6"/>
  <c r="J247" i="6"/>
  <c r="J246" i="6"/>
  <c r="K246" i="6"/>
  <c r="L246" i="6"/>
  <c r="K245" i="6"/>
  <c r="L245" i="6"/>
  <c r="J245" i="6"/>
  <c r="L244" i="6"/>
  <c r="K244" i="6"/>
  <c r="J244" i="6"/>
  <c r="L243" i="6"/>
  <c r="K243" i="6"/>
  <c r="J243" i="6"/>
  <c r="L242" i="6"/>
  <c r="K242" i="6"/>
  <c r="J242" i="6"/>
  <c r="J241" i="6"/>
  <c r="L241" i="6"/>
  <c r="K241" i="6"/>
  <c r="L240" i="6"/>
  <c r="K240" i="6"/>
  <c r="J240" i="6"/>
  <c r="L239" i="6"/>
  <c r="K239" i="6"/>
  <c r="J239" i="6"/>
  <c r="K238" i="6"/>
  <c r="J238" i="6"/>
  <c r="L238" i="6"/>
  <c r="L237" i="6"/>
  <c r="K237" i="6"/>
  <c r="J237" i="6"/>
  <c r="L236" i="6"/>
  <c r="K236" i="6"/>
  <c r="J236" i="6"/>
  <c r="L235" i="6"/>
  <c r="K235" i="6"/>
  <c r="J235" i="6"/>
  <c r="L234" i="6"/>
  <c r="J234" i="6"/>
  <c r="K234" i="6"/>
  <c r="L233" i="6"/>
  <c r="K233" i="6"/>
  <c r="J233" i="6"/>
  <c r="L232" i="6"/>
  <c r="K232" i="6"/>
  <c r="J232" i="6"/>
  <c r="L231" i="6"/>
  <c r="K231" i="6"/>
  <c r="J231" i="6"/>
  <c r="L230" i="6"/>
  <c r="K230" i="6"/>
  <c r="J230" i="6"/>
  <c r="L229" i="6"/>
  <c r="K229" i="6"/>
  <c r="J229" i="6"/>
  <c r="L228" i="6"/>
  <c r="K228" i="6"/>
  <c r="J228" i="6"/>
  <c r="L227" i="6"/>
  <c r="K227" i="6"/>
  <c r="J227" i="6"/>
  <c r="L226" i="6"/>
  <c r="K226" i="6"/>
  <c r="J226" i="6"/>
  <c r="L225" i="6"/>
  <c r="K225" i="6"/>
  <c r="J225" i="6"/>
  <c r="L224" i="6"/>
  <c r="K224" i="6"/>
  <c r="J224" i="6"/>
  <c r="L223" i="6"/>
  <c r="K223" i="6"/>
  <c r="J223" i="6"/>
  <c r="L222" i="6"/>
  <c r="K222" i="6"/>
  <c r="J222" i="6"/>
  <c r="L221" i="6"/>
  <c r="K221" i="6"/>
  <c r="J221" i="6"/>
  <c r="L220" i="6"/>
  <c r="K220" i="6"/>
  <c r="J220" i="6"/>
  <c r="L219" i="6"/>
  <c r="K219" i="6"/>
  <c r="J219" i="6"/>
  <c r="L218" i="6"/>
  <c r="K218" i="6"/>
  <c r="J218" i="6"/>
  <c r="L217" i="6"/>
  <c r="K217" i="6"/>
  <c r="J217" i="6"/>
  <c r="L216" i="6"/>
  <c r="K216" i="6"/>
  <c r="J216" i="6"/>
  <c r="L215" i="6"/>
  <c r="K215" i="6"/>
  <c r="J215" i="6"/>
  <c r="L214" i="6"/>
  <c r="K214" i="6"/>
  <c r="J214" i="6"/>
  <c r="L213" i="6"/>
  <c r="K213" i="6"/>
  <c r="J213" i="6"/>
  <c r="L212" i="6"/>
  <c r="K212" i="6"/>
  <c r="J212" i="6"/>
  <c r="L211" i="6"/>
  <c r="K211" i="6"/>
  <c r="J211" i="6"/>
  <c r="L210" i="6"/>
  <c r="K210" i="6"/>
  <c r="J210" i="6"/>
  <c r="L209" i="6"/>
  <c r="K209" i="6"/>
  <c r="J209" i="6"/>
  <c r="L208" i="6"/>
  <c r="K208" i="6"/>
  <c r="J208" i="6"/>
  <c r="L207" i="6"/>
  <c r="K207" i="6"/>
  <c r="J207" i="6"/>
  <c r="L206" i="6"/>
  <c r="K206" i="6"/>
  <c r="J206" i="6"/>
  <c r="J205" i="6"/>
  <c r="K205" i="6"/>
  <c r="L205" i="6"/>
  <c r="L204" i="6"/>
  <c r="K204" i="6"/>
  <c r="J204" i="6"/>
  <c r="L203" i="6"/>
  <c r="K203" i="6"/>
  <c r="J203" i="6"/>
  <c r="L202" i="6"/>
  <c r="K202" i="6"/>
  <c r="J202" i="6"/>
  <c r="J201" i="6"/>
  <c r="L201" i="6"/>
  <c r="K201" i="6"/>
  <c r="K200" i="6"/>
  <c r="L200" i="6"/>
  <c r="J200" i="6"/>
  <c r="L199" i="6"/>
  <c r="K199" i="6"/>
  <c r="J199" i="6"/>
  <c r="L198" i="6"/>
  <c r="J198" i="6"/>
  <c r="K198" i="6"/>
  <c r="L197" i="6"/>
  <c r="K197" i="6"/>
  <c r="J197" i="6"/>
  <c r="J196" i="6"/>
  <c r="L196" i="6"/>
  <c r="K196" i="6"/>
  <c r="L195" i="6"/>
  <c r="K195" i="6"/>
  <c r="J195" i="6"/>
  <c r="L194" i="6"/>
  <c r="K194" i="6"/>
  <c r="J194" i="6"/>
  <c r="L193" i="6"/>
  <c r="K193" i="6"/>
  <c r="J193" i="6"/>
  <c r="J192" i="6"/>
  <c r="K192" i="6"/>
  <c r="L192" i="6"/>
  <c r="J191" i="6"/>
  <c r="K191" i="6"/>
  <c r="L191" i="6"/>
  <c r="K190" i="6"/>
  <c r="L190" i="6"/>
  <c r="J190" i="6"/>
  <c r="J189" i="6"/>
  <c r="K189" i="6"/>
  <c r="L189" i="6"/>
  <c r="J188" i="6"/>
  <c r="L188" i="6"/>
  <c r="K188" i="6"/>
  <c r="L187" i="6"/>
  <c r="K187" i="6"/>
  <c r="J187" i="6"/>
  <c r="L186" i="6"/>
  <c r="K186" i="6"/>
  <c r="J186" i="6"/>
  <c r="L185" i="6"/>
  <c r="K185" i="6"/>
  <c r="J185" i="6"/>
  <c r="L184" i="6"/>
  <c r="K184" i="6"/>
  <c r="J184" i="6"/>
  <c r="L183" i="6"/>
  <c r="K183" i="6"/>
  <c r="J183" i="6"/>
  <c r="J182" i="6"/>
  <c r="L182" i="6"/>
  <c r="K182" i="6"/>
  <c r="L181" i="6"/>
  <c r="K181" i="6"/>
  <c r="J181" i="6"/>
  <c r="L180" i="6"/>
  <c r="K180" i="6"/>
  <c r="J180" i="6"/>
  <c r="L179" i="6"/>
  <c r="K179" i="6"/>
  <c r="J179" i="6"/>
  <c r="L178" i="6"/>
  <c r="J178" i="6"/>
  <c r="K178" i="6"/>
  <c r="J177" i="6"/>
  <c r="L177" i="6"/>
  <c r="K177" i="6"/>
  <c r="J176" i="6"/>
  <c r="K176" i="6"/>
  <c r="L176" i="6"/>
  <c r="J175" i="6"/>
  <c r="K175" i="6"/>
  <c r="L175" i="6"/>
  <c r="L174" i="6"/>
  <c r="K174" i="6"/>
  <c r="J174" i="6"/>
  <c r="K173" i="6"/>
  <c r="L173" i="6"/>
  <c r="J173" i="6"/>
  <c r="J172" i="6"/>
  <c r="K172" i="6"/>
  <c r="L172" i="6"/>
  <c r="J171" i="6"/>
  <c r="K171" i="6"/>
  <c r="L171" i="6"/>
  <c r="K170" i="6"/>
  <c r="L170" i="6"/>
  <c r="J170" i="6"/>
  <c r="J169" i="6"/>
  <c r="K169" i="6"/>
  <c r="L169" i="6"/>
  <c r="J168" i="6"/>
  <c r="K168" i="6"/>
  <c r="L168" i="6"/>
  <c r="J167" i="6"/>
  <c r="L167" i="6"/>
  <c r="K167" i="6"/>
  <c r="K166" i="6"/>
  <c r="J166" i="6"/>
  <c r="L166" i="6"/>
  <c r="L165" i="6"/>
  <c r="K165" i="6"/>
  <c r="J165" i="6"/>
  <c r="L164" i="6"/>
  <c r="K164" i="6"/>
  <c r="J164" i="6"/>
  <c r="L163" i="6"/>
  <c r="J163" i="6"/>
  <c r="K163" i="6"/>
  <c r="J162" i="6"/>
  <c r="K162" i="6"/>
  <c r="L162" i="6"/>
  <c r="J161" i="6"/>
  <c r="K161" i="6"/>
  <c r="L161" i="6"/>
  <c r="L160" i="6"/>
  <c r="K160" i="6"/>
  <c r="J160" i="6"/>
  <c r="J159" i="6"/>
  <c r="K159" i="6"/>
  <c r="L159" i="6"/>
  <c r="J158" i="6"/>
  <c r="K158" i="6"/>
  <c r="L158" i="6"/>
  <c r="J157" i="6"/>
  <c r="K157" i="6"/>
  <c r="L157" i="6"/>
  <c r="L156" i="6"/>
  <c r="K156" i="6"/>
  <c r="J156" i="6"/>
  <c r="J155" i="6"/>
  <c r="L155" i="6"/>
  <c r="K155" i="6"/>
  <c r="J154" i="6"/>
  <c r="K154" i="6"/>
  <c r="L154" i="6"/>
  <c r="K153" i="6"/>
  <c r="J153" i="6"/>
  <c r="L153" i="6"/>
  <c r="L152" i="6"/>
  <c r="K152" i="6"/>
  <c r="J152" i="6"/>
  <c r="K151" i="6"/>
  <c r="L151" i="6"/>
  <c r="J151" i="6"/>
  <c r="L150" i="6"/>
  <c r="J150" i="6"/>
  <c r="K150" i="6"/>
  <c r="J149" i="6"/>
  <c r="K149" i="6"/>
  <c r="L149" i="6"/>
  <c r="J148" i="6"/>
  <c r="K148" i="6"/>
  <c r="L148" i="6"/>
  <c r="L147" i="6"/>
  <c r="K147" i="6"/>
  <c r="J147" i="6"/>
  <c r="J146" i="6"/>
  <c r="L146" i="6"/>
  <c r="K146" i="6"/>
  <c r="L145" i="6"/>
  <c r="K145" i="6"/>
  <c r="J145" i="6"/>
  <c r="K144" i="6"/>
  <c r="J144" i="6"/>
  <c r="L144" i="6"/>
  <c r="L143" i="6"/>
  <c r="K143" i="6"/>
  <c r="J143" i="6"/>
  <c r="L142" i="6"/>
  <c r="J142" i="6"/>
  <c r="K142" i="6"/>
  <c r="L141" i="6"/>
  <c r="K141" i="6"/>
  <c r="J141" i="6"/>
  <c r="K140" i="6"/>
  <c r="J140" i="6"/>
  <c r="L140" i="6"/>
  <c r="K139" i="6"/>
  <c r="J139" i="6"/>
  <c r="L139" i="6"/>
  <c r="L138" i="6"/>
  <c r="K138" i="6"/>
  <c r="J138" i="6"/>
  <c r="L137" i="6"/>
  <c r="K137" i="6"/>
  <c r="J137" i="6"/>
  <c r="L136" i="6"/>
  <c r="K136" i="6"/>
  <c r="J136" i="6"/>
  <c r="J135" i="6"/>
  <c r="L135" i="6"/>
  <c r="K135" i="6"/>
  <c r="K134" i="6"/>
  <c r="L134" i="6"/>
  <c r="J134" i="6"/>
  <c r="L133" i="6"/>
  <c r="J133" i="6"/>
  <c r="K133" i="6"/>
  <c r="L132" i="6"/>
  <c r="K132" i="6"/>
  <c r="J132" i="6"/>
  <c r="K131" i="6"/>
  <c r="L131" i="6"/>
  <c r="J131" i="6"/>
  <c r="L130" i="6"/>
  <c r="J130" i="6"/>
  <c r="K130" i="6"/>
  <c r="L129" i="6"/>
  <c r="K129" i="6"/>
  <c r="J129" i="6"/>
  <c r="K128" i="6"/>
  <c r="J128" i="6"/>
  <c r="L128" i="6"/>
  <c r="K127" i="6"/>
  <c r="J127" i="6"/>
  <c r="L127" i="6"/>
  <c r="L126" i="6"/>
  <c r="K126" i="6"/>
  <c r="J126" i="6"/>
  <c r="L125" i="6"/>
  <c r="J125" i="6"/>
  <c r="K125" i="6"/>
  <c r="L124" i="6"/>
  <c r="J124" i="6"/>
  <c r="K124" i="6"/>
  <c r="J123" i="6"/>
  <c r="L123" i="6"/>
  <c r="K123" i="6"/>
  <c r="L122" i="6"/>
  <c r="K122" i="6"/>
  <c r="J122" i="6"/>
  <c r="L121" i="6"/>
  <c r="J121" i="6"/>
  <c r="K121" i="6"/>
  <c r="K119" i="6"/>
  <c r="L119" i="6"/>
  <c r="J119" i="6"/>
  <c r="L118" i="6"/>
  <c r="J118" i="6"/>
  <c r="K118" i="6"/>
  <c r="J117" i="6"/>
  <c r="K117" i="6"/>
  <c r="L117" i="6"/>
  <c r="K116" i="6"/>
  <c r="L116" i="6"/>
  <c r="J116" i="6"/>
  <c r="L115" i="6"/>
  <c r="J115" i="6"/>
  <c r="K115" i="6"/>
  <c r="L114" i="6"/>
  <c r="J114" i="6"/>
  <c r="K114" i="6"/>
  <c r="L113" i="6"/>
  <c r="K113" i="6"/>
  <c r="J113" i="6"/>
  <c r="L112" i="6"/>
  <c r="K112" i="6"/>
  <c r="J112" i="6"/>
  <c r="J111" i="6"/>
  <c r="L111" i="6"/>
  <c r="K111" i="6"/>
  <c r="L110" i="6"/>
  <c r="K110" i="6"/>
  <c r="J110" i="6"/>
  <c r="L109" i="6"/>
  <c r="K109" i="6"/>
  <c r="J109" i="6"/>
  <c r="J108" i="6"/>
  <c r="K108" i="6"/>
  <c r="L108" i="6"/>
  <c r="L107" i="6"/>
  <c r="K107" i="6"/>
  <c r="J107" i="6"/>
  <c r="L106" i="6"/>
  <c r="K106" i="6"/>
  <c r="J106" i="6"/>
  <c r="K105" i="6"/>
  <c r="L105" i="6"/>
  <c r="J105" i="6"/>
  <c r="L104" i="6"/>
  <c r="J104" i="6"/>
  <c r="K104" i="6"/>
  <c r="L103" i="6"/>
  <c r="K103" i="6"/>
  <c r="J103" i="6"/>
  <c r="J102" i="6"/>
  <c r="K102" i="6"/>
  <c r="L102" i="6"/>
  <c r="K101" i="6"/>
  <c r="J101" i="6"/>
  <c r="L101" i="6"/>
  <c r="L100" i="6"/>
  <c r="K100" i="6"/>
  <c r="J100" i="6"/>
  <c r="K99" i="6"/>
  <c r="L99" i="6"/>
  <c r="J99" i="6"/>
  <c r="K98" i="6"/>
  <c r="J98" i="6"/>
  <c r="L98" i="6"/>
  <c r="J97" i="6"/>
  <c r="L97" i="6"/>
  <c r="K97" i="6"/>
  <c r="L96" i="6"/>
  <c r="K96" i="6"/>
  <c r="J96" i="6"/>
  <c r="K95" i="6"/>
  <c r="J95" i="6"/>
  <c r="L95" i="6"/>
  <c r="L94" i="6"/>
  <c r="J94" i="6"/>
  <c r="K94" i="6"/>
  <c r="J93" i="6"/>
  <c r="K93" i="6"/>
  <c r="L93" i="6"/>
  <c r="J92" i="6"/>
  <c r="L92" i="6"/>
  <c r="K92" i="6"/>
  <c r="J91" i="6"/>
  <c r="K91" i="6"/>
  <c r="L91" i="6"/>
  <c r="J90" i="6"/>
  <c r="K90" i="6"/>
  <c r="L90" i="6"/>
  <c r="L89" i="6"/>
  <c r="K89" i="6"/>
  <c r="J89" i="6"/>
  <c r="L88" i="6"/>
  <c r="K88" i="6"/>
  <c r="J88" i="6"/>
  <c r="K87" i="6"/>
  <c r="J87" i="6"/>
  <c r="L87" i="6"/>
  <c r="J86" i="6"/>
  <c r="K86" i="6"/>
  <c r="L86" i="6"/>
  <c r="L85" i="6"/>
  <c r="K85" i="6"/>
  <c r="J85" i="6"/>
  <c r="L84" i="6"/>
  <c r="K84" i="6"/>
  <c r="J84" i="6"/>
  <c r="J83" i="6"/>
  <c r="L83" i="6"/>
  <c r="K83" i="6"/>
  <c r="J82" i="6"/>
  <c r="L82" i="6"/>
  <c r="K82" i="6"/>
  <c r="J81" i="6"/>
  <c r="K81" i="6"/>
  <c r="L81" i="6"/>
  <c r="J80" i="6"/>
  <c r="K80" i="6"/>
  <c r="L80" i="6"/>
  <c r="K79" i="6"/>
  <c r="L79" i="6"/>
  <c r="J79" i="6"/>
  <c r="J78" i="6"/>
  <c r="K78" i="6"/>
  <c r="L78" i="6"/>
  <c r="L77" i="6"/>
  <c r="J77" i="6"/>
  <c r="K77" i="6"/>
  <c r="L76" i="6"/>
  <c r="K76" i="6"/>
  <c r="J76" i="6"/>
  <c r="J75" i="6"/>
  <c r="K75" i="6"/>
  <c r="L75" i="6"/>
  <c r="J74" i="6"/>
  <c r="K74" i="6"/>
  <c r="L74" i="6"/>
  <c r="J73" i="6"/>
  <c r="L73" i="6"/>
  <c r="K73" i="6"/>
  <c r="K72" i="6"/>
  <c r="L72" i="6"/>
  <c r="J72" i="6"/>
  <c r="L71" i="6"/>
  <c r="K71" i="6"/>
  <c r="J71" i="6"/>
  <c r="K70" i="6"/>
  <c r="J70" i="6"/>
  <c r="L70" i="6"/>
  <c r="L69" i="6"/>
  <c r="K69" i="6"/>
  <c r="J69" i="6"/>
  <c r="K68" i="6"/>
  <c r="J68" i="6"/>
  <c r="L68" i="6"/>
  <c r="K67" i="6"/>
  <c r="L67" i="6"/>
  <c r="J67" i="6"/>
  <c r="J66" i="6"/>
  <c r="L66" i="6"/>
  <c r="K66" i="6"/>
  <c r="L65" i="6"/>
  <c r="K65" i="6"/>
  <c r="J65" i="6"/>
  <c r="L64" i="6"/>
  <c r="K64" i="6"/>
  <c r="J64" i="6"/>
  <c r="L63" i="6"/>
  <c r="J63" i="6"/>
  <c r="K63" i="6"/>
  <c r="K62" i="6"/>
  <c r="J62" i="6"/>
  <c r="L62" i="6"/>
  <c r="J61" i="6"/>
  <c r="K61" i="6"/>
  <c r="L61" i="6"/>
  <c r="K60" i="6"/>
  <c r="J60" i="6"/>
  <c r="L60" i="6"/>
  <c r="L59" i="6"/>
  <c r="K59" i="6"/>
  <c r="J59" i="6"/>
  <c r="J58" i="6"/>
  <c r="K58" i="6"/>
  <c r="L58" i="6"/>
  <c r="J57" i="6"/>
  <c r="K57" i="6"/>
  <c r="L57" i="6"/>
  <c r="L56" i="6"/>
  <c r="K56" i="6"/>
  <c r="J56" i="6"/>
  <c r="L55" i="6"/>
  <c r="J55" i="6"/>
  <c r="K55" i="6"/>
  <c r="L54" i="6"/>
  <c r="J54" i="6"/>
  <c r="K54" i="6"/>
  <c r="L53" i="6"/>
  <c r="K53" i="6"/>
  <c r="J53" i="6"/>
  <c r="L52" i="6"/>
  <c r="K52" i="6"/>
  <c r="J52" i="6"/>
  <c r="L51" i="6"/>
  <c r="K51" i="6"/>
  <c r="J51" i="6"/>
  <c r="L50" i="6"/>
  <c r="K50" i="6"/>
  <c r="J50" i="6"/>
  <c r="L49" i="6"/>
  <c r="K49" i="6"/>
  <c r="J49" i="6"/>
  <c r="L48" i="6"/>
  <c r="K48" i="6"/>
  <c r="J48" i="6"/>
  <c r="J47" i="6"/>
  <c r="K47" i="6"/>
  <c r="L47" i="6"/>
  <c r="L46" i="6"/>
  <c r="J46" i="6"/>
  <c r="K46" i="6"/>
  <c r="J45" i="6"/>
  <c r="L45" i="6"/>
  <c r="K45" i="6"/>
  <c r="J44" i="6"/>
  <c r="L44" i="6"/>
  <c r="K44" i="6"/>
  <c r="J43" i="6"/>
  <c r="L43" i="6"/>
  <c r="K43" i="6"/>
  <c r="J42" i="6"/>
  <c r="L42" i="6"/>
  <c r="K42" i="6"/>
  <c r="K41" i="6"/>
  <c r="L41" i="6"/>
  <c r="J41" i="6"/>
  <c r="K40" i="6"/>
  <c r="L40" i="6"/>
  <c r="J40" i="6"/>
  <c r="L39" i="6"/>
  <c r="K39" i="6"/>
  <c r="J39" i="6"/>
  <c r="K38" i="6"/>
  <c r="J38" i="6"/>
  <c r="L38" i="6"/>
  <c r="J37" i="6"/>
  <c r="K37" i="6"/>
  <c r="L37" i="6"/>
  <c r="J36" i="6"/>
  <c r="K36" i="6"/>
  <c r="L36" i="6"/>
  <c r="L35" i="6"/>
  <c r="J35" i="6"/>
  <c r="K35" i="6"/>
  <c r="L34" i="6"/>
  <c r="K34" i="6"/>
  <c r="J34" i="6"/>
  <c r="L33" i="6"/>
  <c r="K33" i="6"/>
  <c r="J33" i="6"/>
  <c r="L32" i="6"/>
  <c r="K32" i="6"/>
  <c r="J32" i="6"/>
  <c r="L31" i="6"/>
  <c r="K31" i="6"/>
  <c r="J31" i="6"/>
  <c r="J30" i="6"/>
  <c r="L30" i="6"/>
  <c r="K30" i="6"/>
  <c r="L29" i="6"/>
  <c r="J29" i="6"/>
  <c r="K29" i="6"/>
  <c r="J28" i="6"/>
  <c r="K28" i="6"/>
  <c r="L28" i="6"/>
  <c r="J27" i="6"/>
  <c r="K27" i="6"/>
  <c r="L26" i="6"/>
  <c r="J26" i="6"/>
  <c r="K26" i="6"/>
  <c r="L25" i="6"/>
  <c r="K25" i="6"/>
  <c r="J25" i="6"/>
  <c r="L24" i="6"/>
  <c r="K24" i="6"/>
  <c r="J24" i="6"/>
  <c r="L23" i="6"/>
  <c r="J23" i="6"/>
  <c r="K23" i="6"/>
  <c r="J22" i="6"/>
  <c r="K22" i="6"/>
  <c r="L22" i="6"/>
  <c r="J21" i="6"/>
  <c r="K21" i="6"/>
  <c r="L21" i="6"/>
  <c r="J20" i="6"/>
  <c r="K20" i="6"/>
  <c r="L20" i="6"/>
  <c r="J19" i="6"/>
  <c r="L19" i="6"/>
  <c r="K19" i="6"/>
  <c r="L18" i="6"/>
  <c r="K18" i="6"/>
  <c r="J18" i="6"/>
  <c r="J17" i="6"/>
  <c r="L17" i="6"/>
  <c r="K17" i="6"/>
  <c r="J16" i="6"/>
  <c r="K16" i="6"/>
  <c r="L16" i="6"/>
  <c r="J15" i="6"/>
  <c r="K15" i="6"/>
  <c r="L15" i="6"/>
  <c r="L14" i="6"/>
  <c r="J14" i="6"/>
  <c r="K14" i="6"/>
  <c r="L13" i="6"/>
  <c r="K13" i="6"/>
  <c r="J13" i="6"/>
  <c r="J12" i="6"/>
  <c r="K12" i="6"/>
  <c r="L12" i="6"/>
  <c r="L11" i="6"/>
  <c r="K11" i="6"/>
  <c r="J11" i="6"/>
  <c r="L10" i="6"/>
  <c r="K10" i="6"/>
  <c r="J10" i="6"/>
  <c r="L9" i="6"/>
  <c r="K9" i="6"/>
  <c r="J9" i="6"/>
  <c r="K8" i="6"/>
  <c r="J8" i="6"/>
  <c r="L8" i="6"/>
  <c r="L7" i="6"/>
  <c r="K7" i="6"/>
  <c r="J7" i="6"/>
  <c r="L6" i="6"/>
  <c r="K6" i="6"/>
  <c r="J6" i="6"/>
  <c r="L5" i="6"/>
  <c r="K5" i="6"/>
  <c r="J5" i="6"/>
  <c r="D16" i="4"/>
  <c r="D14" i="4"/>
  <c r="D15" i="4" s="1"/>
  <c r="C16" i="4"/>
  <c r="C14" i="4"/>
  <c r="C15" i="4" s="1"/>
  <c r="B16" i="4"/>
  <c r="B14" i="4"/>
  <c r="B15" i="4" s="1"/>
  <c r="C43" i="3"/>
  <c r="E43" i="3" s="1"/>
  <c r="F51" i="3" s="1"/>
  <c r="F43" i="3"/>
  <c r="H43" i="3" s="1"/>
  <c r="G51" i="3" s="1"/>
  <c r="F42" i="3"/>
  <c r="H42" i="3" s="1"/>
  <c r="G50" i="3" s="1"/>
  <c r="C42" i="3"/>
  <c r="E42" i="3" s="1"/>
  <c r="F50" i="3" s="1"/>
  <c r="F41" i="3"/>
  <c r="H41" i="3" s="1"/>
  <c r="C41" i="3"/>
  <c r="E41" i="3" s="1"/>
  <c r="E35" i="3"/>
  <c r="F35" i="3" s="1"/>
  <c r="G35" i="3"/>
  <c r="E51" i="3" s="1"/>
  <c r="G34" i="3"/>
  <c r="E50" i="3" s="1"/>
  <c r="E34" i="3"/>
  <c r="F34" i="3" s="1"/>
  <c r="G33" i="3"/>
  <c r="E33" i="3"/>
  <c r="E17" i="3"/>
  <c r="E16" i="3"/>
  <c r="D18" i="3"/>
  <c r="I18" i="3" s="1"/>
  <c r="F16" i="3" s="1"/>
  <c r="E15" i="3"/>
  <c r="E18" i="3" s="1"/>
  <c r="G19" i="3" s="1"/>
  <c r="E8" i="3"/>
  <c r="E7" i="3"/>
  <c r="E6" i="3"/>
  <c r="E9" i="3" s="1"/>
  <c r="G10" i="3" s="1"/>
  <c r="D9" i="3"/>
  <c r="I9" i="3" s="1"/>
  <c r="F7" i="3" s="1"/>
  <c r="H44" i="3" l="1"/>
  <c r="G49" i="3"/>
  <c r="G56" i="3" s="1"/>
  <c r="F49" i="3"/>
  <c r="F56" i="3" s="1"/>
  <c r="E44" i="3"/>
  <c r="E49" i="3"/>
  <c r="E56" i="3" s="1"/>
  <c r="G36" i="3"/>
  <c r="F33" i="3"/>
  <c r="F36" i="3" s="1"/>
  <c r="B66" i="3" s="1"/>
  <c r="E36" i="3"/>
  <c r="B73" i="3" s="1"/>
  <c r="F15" i="3"/>
  <c r="F17" i="3" s="1"/>
  <c r="H15" i="3"/>
  <c r="G15" i="3"/>
  <c r="G16" i="3"/>
  <c r="H16" i="3"/>
  <c r="H7" i="3"/>
  <c r="H6" i="3"/>
  <c r="G7" i="3"/>
  <c r="F6" i="3"/>
  <c r="I15" i="3" l="1"/>
  <c r="I7" i="3"/>
  <c r="D25" i="3"/>
  <c r="I16" i="3"/>
  <c r="H17" i="3"/>
  <c r="G17" i="3"/>
  <c r="F8" i="3"/>
  <c r="G6" i="3"/>
  <c r="D49" i="3" l="1"/>
  <c r="J15" i="3"/>
  <c r="J7" i="3"/>
  <c r="C50" i="3"/>
  <c r="E25" i="3"/>
  <c r="D50" i="3"/>
  <c r="J16" i="3"/>
  <c r="H8" i="3"/>
  <c r="G8" i="3"/>
  <c r="B11" i="3"/>
  <c r="B60" i="3" s="1"/>
  <c r="D24" i="3"/>
  <c r="I6" i="3"/>
  <c r="I17" i="3"/>
  <c r="B20" i="3"/>
  <c r="B61" i="3" s="1"/>
  <c r="D26" i="3" l="1"/>
  <c r="I8" i="3"/>
  <c r="E24" i="3"/>
  <c r="D27" i="3"/>
  <c r="I27" i="3" s="1"/>
  <c r="J6" i="3"/>
  <c r="C49" i="3"/>
  <c r="D51" i="3"/>
  <c r="D56" i="3" s="1"/>
  <c r="J17" i="3"/>
  <c r="E26" i="3" l="1"/>
  <c r="E27" i="3" s="1"/>
  <c r="G28" i="3" s="1"/>
  <c r="J8" i="3"/>
  <c r="C51" i="3"/>
  <c r="C56" i="3" s="1"/>
  <c r="F25" i="3"/>
  <c r="F24" i="3"/>
  <c r="F26" i="3" s="1"/>
  <c r="H24" i="3" l="1"/>
  <c r="G25" i="3"/>
  <c r="G24" i="3"/>
  <c r="H26" i="3"/>
  <c r="H25" i="3"/>
  <c r="G26" i="3"/>
  <c r="N120" i="6" l="1"/>
  <c r="N259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16" i="6"/>
  <c r="N214" i="6"/>
  <c r="N212" i="6"/>
  <c r="N209" i="6"/>
  <c r="N207" i="6"/>
  <c r="N203" i="6"/>
  <c r="N200" i="6"/>
  <c r="N199" i="6"/>
  <c r="N198" i="6"/>
  <c r="N190" i="6"/>
  <c r="N154" i="6"/>
  <c r="N149" i="6"/>
  <c r="N80" i="6"/>
  <c r="N74" i="6"/>
  <c r="N265" i="6"/>
  <c r="N264" i="6"/>
  <c r="N263" i="6"/>
  <c r="N262" i="6"/>
  <c r="N261" i="6"/>
  <c r="N260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5" i="6"/>
  <c r="N213" i="6"/>
  <c r="N211" i="6"/>
  <c r="N210" i="6"/>
  <c r="N208" i="6"/>
  <c r="N206" i="6"/>
  <c r="N205" i="6"/>
  <c r="N204" i="6"/>
  <c r="N202" i="6"/>
  <c r="N201" i="6"/>
  <c r="N197" i="6"/>
  <c r="N196" i="6"/>
  <c r="N195" i="6"/>
  <c r="N194" i="6"/>
  <c r="N193" i="6"/>
  <c r="N192" i="6"/>
  <c r="N191" i="6"/>
  <c r="N189" i="6"/>
  <c r="N188" i="6"/>
  <c r="N151" i="6"/>
  <c r="N150" i="6"/>
  <c r="N91" i="6"/>
  <c r="N89" i="6"/>
  <c r="N87" i="6"/>
  <c r="N81" i="6"/>
  <c r="N79" i="6"/>
  <c r="N75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94" i="6"/>
  <c r="N92" i="6"/>
  <c r="N82" i="6"/>
  <c r="N73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3" i="6"/>
  <c r="N85" i="6"/>
  <c r="N71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20" i="6"/>
  <c r="N19" i="6"/>
  <c r="N18" i="6"/>
  <c r="N15" i="6"/>
  <c r="N14" i="6"/>
  <c r="N13" i="6"/>
  <c r="N12" i="6"/>
  <c r="N11" i="6"/>
  <c r="N10" i="6"/>
  <c r="N9" i="6"/>
  <c r="N8" i="6"/>
  <c r="N7" i="6"/>
  <c r="N6" i="6"/>
  <c r="N5" i="6"/>
  <c r="N153" i="6"/>
  <c r="N152" i="6"/>
  <c r="N86" i="6"/>
  <c r="N84" i="6"/>
  <c r="N78" i="6"/>
  <c r="N76" i="6"/>
  <c r="N70" i="6"/>
  <c r="N31" i="6"/>
  <c r="N30" i="6"/>
  <c r="N29" i="6"/>
  <c r="N28" i="6"/>
  <c r="N27" i="6"/>
  <c r="N26" i="6"/>
  <c r="N25" i="6"/>
  <c r="N24" i="6"/>
  <c r="N23" i="6"/>
  <c r="N22" i="6"/>
  <c r="N21" i="6"/>
  <c r="N17" i="6"/>
  <c r="N16" i="6"/>
  <c r="N155" i="6"/>
  <c r="N90" i="6"/>
  <c r="N88" i="6"/>
  <c r="N83" i="6"/>
  <c r="N77" i="6"/>
  <c r="N72" i="6"/>
  <c r="I25" i="3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304" i="6"/>
  <c r="Q303" i="6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Q269" i="6"/>
  <c r="Q268" i="6"/>
  <c r="Q267" i="6"/>
  <c r="Q266" i="6"/>
  <c r="Q265" i="6"/>
  <c r="Q264" i="6"/>
  <c r="Q263" i="6"/>
  <c r="Q262" i="6"/>
  <c r="Q261" i="6"/>
  <c r="Q260" i="6"/>
  <c r="Q259" i="6"/>
  <c r="B29" i="3"/>
  <c r="Q258" i="6"/>
  <c r="Q257" i="6"/>
  <c r="Q256" i="6"/>
  <c r="Q255" i="6"/>
  <c r="Q254" i="6"/>
  <c r="Q253" i="6"/>
  <c r="Q252" i="6"/>
  <c r="Q251" i="6"/>
  <c r="Q250" i="6"/>
  <c r="Q249" i="6"/>
  <c r="Q248" i="6"/>
  <c r="Q247" i="6"/>
  <c r="Q246" i="6"/>
  <c r="Q245" i="6"/>
  <c r="Q244" i="6"/>
  <c r="Q243" i="6"/>
  <c r="Q242" i="6"/>
  <c r="Q241" i="6"/>
  <c r="Q240" i="6"/>
  <c r="Q239" i="6"/>
  <c r="Q238" i="6"/>
  <c r="Q237" i="6"/>
  <c r="Q236" i="6"/>
  <c r="Q235" i="6"/>
  <c r="Q234" i="6"/>
  <c r="Q233" i="6"/>
  <c r="Q232" i="6"/>
  <c r="Q231" i="6"/>
  <c r="Q230" i="6"/>
  <c r="Q229" i="6"/>
  <c r="Q228" i="6"/>
  <c r="Q227" i="6"/>
  <c r="Q226" i="6"/>
  <c r="Q225" i="6"/>
  <c r="Q224" i="6"/>
  <c r="Q223" i="6"/>
  <c r="Q222" i="6"/>
  <c r="Q221" i="6"/>
  <c r="Q220" i="6"/>
  <c r="Q219" i="6"/>
  <c r="Q218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M120" i="6"/>
  <c r="M259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17" i="6"/>
  <c r="M215" i="6"/>
  <c r="M213" i="6"/>
  <c r="M211" i="6"/>
  <c r="M210" i="6"/>
  <c r="M208" i="6"/>
  <c r="M206" i="6"/>
  <c r="M205" i="6"/>
  <c r="M204" i="6"/>
  <c r="M202" i="6"/>
  <c r="M200" i="6"/>
  <c r="M190" i="6"/>
  <c r="M155" i="6"/>
  <c r="M153" i="6"/>
  <c r="M151" i="6"/>
  <c r="M89" i="6"/>
  <c r="M86" i="6"/>
  <c r="M85" i="6"/>
  <c r="M82" i="6"/>
  <c r="M78" i="6"/>
  <c r="M72" i="6"/>
  <c r="M265" i="6"/>
  <c r="M264" i="6"/>
  <c r="M263" i="6"/>
  <c r="M262" i="6"/>
  <c r="M261" i="6"/>
  <c r="M260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6" i="6"/>
  <c r="M214" i="6"/>
  <c r="M212" i="6"/>
  <c r="M209" i="6"/>
  <c r="M207" i="6"/>
  <c r="M203" i="6"/>
  <c r="M201" i="6"/>
  <c r="M199" i="6"/>
  <c r="M198" i="6"/>
  <c r="M197" i="6"/>
  <c r="M196" i="6"/>
  <c r="M195" i="6"/>
  <c r="M194" i="6"/>
  <c r="M193" i="6"/>
  <c r="M192" i="6"/>
  <c r="M191" i="6"/>
  <c r="M189" i="6"/>
  <c r="M188" i="6"/>
  <c r="M154" i="6"/>
  <c r="M93" i="6"/>
  <c r="M83" i="6"/>
  <c r="M77" i="6"/>
  <c r="M73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0" i="6"/>
  <c r="M88" i="6"/>
  <c r="M84" i="6"/>
  <c r="M76" i="6"/>
  <c r="M71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1" i="6"/>
  <c r="M87" i="6"/>
  <c r="M81" i="6"/>
  <c r="M75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19" i="6"/>
  <c r="M18" i="6"/>
  <c r="M16" i="6"/>
  <c r="M14" i="6"/>
  <c r="M13" i="6"/>
  <c r="M12" i="6"/>
  <c r="M11" i="6"/>
  <c r="M10" i="6"/>
  <c r="M9" i="6"/>
  <c r="M8" i="6"/>
  <c r="M7" i="6"/>
  <c r="M6" i="6"/>
  <c r="M5" i="6"/>
  <c r="M149" i="6"/>
  <c r="M92" i="6"/>
  <c r="M90" i="6"/>
  <c r="M80" i="6"/>
  <c r="M74" i="6"/>
  <c r="M31" i="6"/>
  <c r="M30" i="6"/>
  <c r="M29" i="6"/>
  <c r="M28" i="6"/>
  <c r="M27" i="6"/>
  <c r="M26" i="6"/>
  <c r="M25" i="6"/>
  <c r="M24" i="6"/>
  <c r="M23" i="6"/>
  <c r="M22" i="6"/>
  <c r="M21" i="6"/>
  <c r="M20" i="6"/>
  <c r="M17" i="6"/>
  <c r="M15" i="6"/>
  <c r="M152" i="6"/>
  <c r="M94" i="6"/>
  <c r="M79" i="6"/>
  <c r="I24" i="3"/>
  <c r="O120" i="6"/>
  <c r="O27" i="6"/>
  <c r="O259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17" i="6"/>
  <c r="O215" i="6"/>
  <c r="O213" i="6"/>
  <c r="O211" i="6"/>
  <c r="O208" i="6"/>
  <c r="O206" i="6"/>
  <c r="O204" i="6"/>
  <c r="O202" i="6"/>
  <c r="O201" i="6"/>
  <c r="O198" i="6"/>
  <c r="O193" i="6"/>
  <c r="O189" i="6"/>
  <c r="O188" i="6"/>
  <c r="O152" i="6"/>
  <c r="O93" i="6"/>
  <c r="O91" i="6"/>
  <c r="O76" i="6"/>
  <c r="O265" i="6"/>
  <c r="O264" i="6"/>
  <c r="O263" i="6"/>
  <c r="O262" i="6"/>
  <c r="O261" i="6"/>
  <c r="O260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6" i="6"/>
  <c r="O214" i="6"/>
  <c r="O212" i="6"/>
  <c r="O210" i="6"/>
  <c r="O209" i="6"/>
  <c r="O207" i="6"/>
  <c r="O205" i="6"/>
  <c r="O203" i="6"/>
  <c r="O200" i="6"/>
  <c r="O199" i="6"/>
  <c r="O197" i="6"/>
  <c r="O196" i="6"/>
  <c r="O195" i="6"/>
  <c r="O194" i="6"/>
  <c r="O192" i="6"/>
  <c r="O191" i="6"/>
  <c r="O190" i="6"/>
  <c r="O154" i="6"/>
  <c r="O153" i="6"/>
  <c r="O85" i="6"/>
  <c r="O71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90" i="6"/>
  <c r="O86" i="6"/>
  <c r="O80" i="6"/>
  <c r="O78" i="6"/>
  <c r="O75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89" i="6"/>
  <c r="O83" i="6"/>
  <c r="O79" i="6"/>
  <c r="O77" i="6"/>
  <c r="O73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155" i="6"/>
  <c r="O151" i="6"/>
  <c r="O88" i="6"/>
  <c r="O82" i="6"/>
  <c r="O72" i="6"/>
  <c r="O31" i="6"/>
  <c r="O30" i="6"/>
  <c r="O29" i="6"/>
  <c r="O28" i="6"/>
  <c r="O26" i="6"/>
  <c r="O25" i="6"/>
  <c r="O24" i="6"/>
  <c r="O23" i="6"/>
  <c r="O22" i="6"/>
  <c r="O21" i="6"/>
  <c r="O20" i="6"/>
  <c r="O19" i="6"/>
  <c r="O18" i="6"/>
  <c r="O150" i="6"/>
  <c r="O92" i="6"/>
  <c r="O87" i="6"/>
  <c r="O84" i="6"/>
  <c r="O81" i="6"/>
  <c r="O74" i="6"/>
  <c r="I26" i="3"/>
  <c r="P120" i="6" l="1"/>
  <c r="P259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J25" i="3"/>
  <c r="B50" i="3"/>
  <c r="H50" i="3" s="1"/>
  <c r="B59" i="3"/>
  <c r="B72" i="3"/>
  <c r="B315" i="6"/>
  <c r="B314" i="6"/>
  <c r="B309" i="6"/>
  <c r="P5" i="6"/>
  <c r="J24" i="3"/>
  <c r="B49" i="3"/>
  <c r="B51" i="3"/>
  <c r="H51" i="3" s="1"/>
  <c r="J26" i="3"/>
  <c r="B316" i="6"/>
  <c r="B312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17" i="6"/>
  <c r="P215" i="6"/>
  <c r="P213" i="6"/>
  <c r="P211" i="6"/>
  <c r="P210" i="6"/>
  <c r="P208" i="6"/>
  <c r="P206" i="6"/>
  <c r="P205" i="6"/>
  <c r="P204" i="6"/>
  <c r="P202" i="6"/>
  <c r="P200" i="6"/>
  <c r="P190" i="6"/>
  <c r="P155" i="6"/>
  <c r="P153" i="6"/>
  <c r="P151" i="6"/>
  <c r="P89" i="6"/>
  <c r="P86" i="6"/>
  <c r="P85" i="6"/>
  <c r="P82" i="6"/>
  <c r="P78" i="6"/>
  <c r="P72" i="6"/>
  <c r="P265" i="6"/>
  <c r="P264" i="6"/>
  <c r="P263" i="6"/>
  <c r="P262" i="6"/>
  <c r="P261" i="6"/>
  <c r="P260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B317" i="6"/>
  <c r="P226" i="6"/>
  <c r="P225" i="6"/>
  <c r="P224" i="6"/>
  <c r="P223" i="6"/>
  <c r="P222" i="6"/>
  <c r="P221" i="6"/>
  <c r="P220" i="6"/>
  <c r="P219" i="6"/>
  <c r="P218" i="6"/>
  <c r="P216" i="6"/>
  <c r="P214" i="6"/>
  <c r="P212" i="6"/>
  <c r="P209" i="6"/>
  <c r="P207" i="6"/>
  <c r="P203" i="6"/>
  <c r="P201" i="6"/>
  <c r="P199" i="6"/>
  <c r="P198" i="6"/>
  <c r="P197" i="6"/>
  <c r="P196" i="6"/>
  <c r="P195" i="6"/>
  <c r="P194" i="6"/>
  <c r="P193" i="6"/>
  <c r="P192" i="6"/>
  <c r="P191" i="6"/>
  <c r="P189" i="6"/>
  <c r="P188" i="6"/>
  <c r="P154" i="6"/>
  <c r="P93" i="6"/>
  <c r="P83" i="6"/>
  <c r="P77" i="6"/>
  <c r="P73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0" i="6"/>
  <c r="P88" i="6"/>
  <c r="P84" i="6"/>
  <c r="P76" i="6"/>
  <c r="P71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1" i="6"/>
  <c r="P87" i="6"/>
  <c r="P81" i="6"/>
  <c r="P75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19" i="6"/>
  <c r="P18" i="6"/>
  <c r="P16" i="6"/>
  <c r="P14" i="6"/>
  <c r="P13" i="6"/>
  <c r="P12" i="6"/>
  <c r="P11" i="6"/>
  <c r="P10" i="6"/>
  <c r="P9" i="6"/>
  <c r="P8" i="6"/>
  <c r="P7" i="6"/>
  <c r="P6" i="6"/>
  <c r="P149" i="6"/>
  <c r="P92" i="6"/>
  <c r="P90" i="6"/>
  <c r="P80" i="6"/>
  <c r="P74" i="6"/>
  <c r="P31" i="6"/>
  <c r="P30" i="6"/>
  <c r="P29" i="6"/>
  <c r="P28" i="6"/>
  <c r="P27" i="6"/>
  <c r="P26" i="6"/>
  <c r="P25" i="6"/>
  <c r="P24" i="6"/>
  <c r="P23" i="6"/>
  <c r="P22" i="6"/>
  <c r="P21" i="6"/>
  <c r="P20" i="6"/>
  <c r="P17" i="6"/>
  <c r="P15" i="6"/>
  <c r="P152" i="6"/>
  <c r="P94" i="6"/>
  <c r="P79" i="6"/>
  <c r="I50" i="3" l="1"/>
  <c r="J50" i="3" s="1"/>
  <c r="B308" i="6"/>
  <c r="B310" i="6"/>
  <c r="B311" i="6"/>
  <c r="B313" i="6"/>
  <c r="H49" i="3"/>
  <c r="B56" i="3"/>
  <c r="B55" i="3" s="1"/>
  <c r="B77" i="3" s="1"/>
  <c r="I51" i="3"/>
  <c r="J51" i="3" s="1"/>
  <c r="B318" i="6"/>
  <c r="H52" i="3" l="1"/>
  <c r="B71" i="3" s="1"/>
  <c r="B54" i="3"/>
  <c r="B76" i="3" s="1"/>
  <c r="I49" i="3"/>
  <c r="I52" i="3" s="1"/>
  <c r="J49" i="3"/>
  <c r="J52" i="3" s="1"/>
  <c r="B74" i="3" l="1"/>
  <c r="B65" i="3"/>
  <c r="B64" i="3"/>
  <c r="B67" i="3" s="1"/>
  <c r="B70" i="3" s="1"/>
  <c r="B75" i="3"/>
</calcChain>
</file>

<file path=xl/sharedStrings.xml><?xml version="1.0" encoding="utf-8"?>
<sst xmlns="http://schemas.openxmlformats.org/spreadsheetml/2006/main" count="258" uniqueCount="200">
  <si>
    <t>1. Arrivals &amp; Case Mix (Exhibit 1)</t>
  </si>
  <si>
    <t>Morning mean arrivals</t>
  </si>
  <si>
    <t>Evening mean arrivals</t>
  </si>
  <si>
    <t>Night mean arrivals</t>
  </si>
  <si>
    <t>Morning arrivals std dev</t>
  </si>
  <si>
    <t>Evening arrivals std dev</t>
  </si>
  <si>
    <t>Night arrivals std dev</t>
  </si>
  <si>
    <t>Morning high-acuity share</t>
  </si>
  <si>
    <t>Evening high-acuity share</t>
  </si>
  <si>
    <t>Night high-acuity share</t>
  </si>
  <si>
    <t>Morning avg bed-hours/patient</t>
  </si>
  <si>
    <t>Evening avg bed-hours/patient</t>
  </si>
  <si>
    <t>Night avg bed-hours/patient</t>
  </si>
  <si>
    <t>2. Resource Productivity, Cost &amp; Availability (Exhibit 2)</t>
  </si>
  <si>
    <t>Doctor patients/shift capacity</t>
  </si>
  <si>
    <t>Nurse patients/shift capacity</t>
  </si>
  <si>
    <t>Technician patients/shift capacity</t>
  </si>
  <si>
    <t>Doctor regular cost / shift</t>
  </si>
  <si>
    <t>Nurse regular cost / shift</t>
  </si>
  <si>
    <t>Technician regular cost / shift</t>
  </si>
  <si>
    <t>Doctor overtime cost / shift</t>
  </si>
  <si>
    <t>Nurse overtime cost / shift</t>
  </si>
  <si>
    <t>Technician overtime cost / shift</t>
  </si>
  <si>
    <t>Doctors available (total pool)</t>
  </si>
  <si>
    <t>Nurses available (total pool)</t>
  </si>
  <si>
    <t>Technicians available (total pool)</t>
  </si>
  <si>
    <t>3. Policy Levers</t>
  </si>
  <si>
    <t>Service target (% of arrivals covered)</t>
  </si>
  <si>
    <t>Overtime cap (% of regular staff)</t>
  </si>
  <si>
    <t>Shift length (hours) [assumption]</t>
  </si>
  <si>
    <t>4. Beds &amp; Diagnostics (Exhibit 3)</t>
  </si>
  <si>
    <t>Current beds</t>
  </si>
  <si>
    <t>Max beds</t>
  </si>
  <si>
    <t>Cost per added bed / day</t>
  </si>
  <si>
    <t>BEDS ADDED (0-10)</t>
  </si>
  <si>
    <t>Imaging base capacity/shift</t>
  </si>
  <si>
    <t>Imaging expansion size</t>
  </si>
  <si>
    <t>Imaging expansion cost/day</t>
  </si>
  <si>
    <t>EXPAND IMAGING? (1=yes,0=no)</t>
  </si>
  <si>
    <t>Lab base capacity/shift</t>
  </si>
  <si>
    <t>Lab expansion size</t>
  </si>
  <si>
    <t>Lab expansion cost/day</t>
  </si>
  <si>
    <t>EXPAND LAB? (1=yes,0=no)</t>
  </si>
  <si>
    <t>5. Shortage Penalties (Exhibit 4)</t>
  </si>
  <si>
    <t>Penalty: patient not covered</t>
  </si>
  <si>
    <t>Penalty: patient diverted</t>
  </si>
  <si>
    <t>Penalty: bed-hour shortfall</t>
  </si>
  <si>
    <t>Share of uncovered patients that become diversions [assumption]</t>
  </si>
  <si>
    <t>6. Disruptions / What-if Toggles</t>
  </si>
  <si>
    <t>City-wide incident today? (1=yes,0=no)</t>
  </si>
  <si>
    <t>Incident hits which shift? (1=Morning,2=Evening,3=Night)</t>
  </si>
  <si>
    <t>Incident severity (arrival increase %)</t>
  </si>
  <si>
    <t>Doctor absence rate override</t>
  </si>
  <si>
    <t>Nurse absence rate override</t>
  </si>
  <si>
    <t>Technician absence rate override</t>
  </si>
  <si>
    <t>Mark Doctors entirely unavailable? (1/0)</t>
  </si>
  <si>
    <t>Mark Nurses entirely unavailable? (1/0)</t>
  </si>
  <si>
    <t>Mark Technicians entirely unavailable? (1/0)</t>
  </si>
  <si>
    <t>7. Monte Carlo Simulation Parameters (Exhibit 5 &amp; 6)</t>
  </si>
  <si>
    <t>Trials simulated (rows built into Simulation sheet)</t>
  </si>
  <si>
    <t>P(Normal case-mix) — 100% effective capacity</t>
  </si>
  <si>
    <t>P(Complex case-mix) — 90% effective capacity</t>
  </si>
  <si>
    <t>P(Severe congestion) — 80% effective capacity</t>
  </si>
  <si>
    <t>Base absence rate — Doctor (Exhibit 6)</t>
  </si>
  <si>
    <t>Base absence rate — Nurse (Exhibit 6)</t>
  </si>
  <si>
    <t>Base absence rate — Technician (Exhibit 6)</t>
  </si>
  <si>
    <t>City-wide incident probability (per day)</t>
  </si>
  <si>
    <t>Bed-hours variability (± around base)</t>
  </si>
  <si>
    <t>NURSE STAFFING</t>
  </si>
  <si>
    <t>Shift</t>
  </si>
  <si>
    <t>Adj. Arrivals</t>
  </si>
  <si>
    <t>Demand</t>
  </si>
  <si>
    <t>Req (@ target)</t>
  </si>
  <si>
    <t>x_min
(max OT)</t>
  </si>
  <si>
    <t>Reduction</t>
  </si>
  <si>
    <t>Regular
staff (x)</t>
  </si>
  <si>
    <t>Overtime
(o)</t>
  </si>
  <si>
    <t>Unmet
(headcount)</t>
  </si>
  <si>
    <t>Unmet
(patients)</t>
  </si>
  <si>
    <t>Morning</t>
  </si>
  <si>
    <t>Evening</t>
  </si>
  <si>
    <t>Night</t>
  </si>
  <si>
    <t>POOL</t>
  </si>
  <si>
    <t>Eff. Avail →</t>
  </si>
  <si>
    <t>Shortfall →</t>
  </si>
  <si>
    <t>Final short →</t>
  </si>
  <si>
    <t>Labor cost (reg+OT)</t>
  </si>
  <si>
    <t>TECHNICIAN STAFFING</t>
  </si>
  <si>
    <t>DOCTOR STAFFING</t>
  </si>
  <si>
    <t>BED CAPACITY</t>
  </si>
  <si>
    <t>Bed Capacity
(patients)</t>
  </si>
  <si>
    <t>Bed-Hrs
Available</t>
  </si>
  <si>
    <t>Bed-Hrs
Needed</t>
  </si>
  <si>
    <t>Bed-Hr
Shortfall</t>
  </si>
  <si>
    <t>Unmet
(patients, beds)</t>
  </si>
  <si>
    <t>TOTAL</t>
  </si>
  <si>
    <t>Bed expansion cost</t>
  </si>
  <si>
    <t>DIAGNOSTIC CAPACITY (Imaging &amp; Lab)</t>
  </si>
  <si>
    <t>Imaging
Demand</t>
  </si>
  <si>
    <t>Imaging
Capacity</t>
  </si>
  <si>
    <t>Imaging Shortfall
(patients)</t>
  </si>
  <si>
    <t>Lab
Demand</t>
  </si>
  <si>
    <t>Lab
Capacity</t>
  </si>
  <si>
    <t>Lab Shortfall
(patients)</t>
  </si>
  <si>
    <t>Diagnostic expansion cost</t>
  </si>
  <si>
    <t>BOTTLENECK ANALYSIS — SYSTEM-WIDE UNMET DEMAND</t>
  </si>
  <si>
    <t>Doctor
Unmet</t>
  </si>
  <si>
    <t>Nurse
Unmet</t>
  </si>
  <si>
    <t>Tech
Unmet</t>
  </si>
  <si>
    <t>Bed
Unmet</t>
  </si>
  <si>
    <t>Imaging
Shortfall</t>
  </si>
  <si>
    <t>Lab
Shortfall</t>
  </si>
  <si>
    <t>Bottleneck
Unmet (pts)</t>
  </si>
  <si>
    <t>Diverted</t>
  </si>
  <si>
    <t>Not Covered
(only)</t>
  </si>
  <si>
    <t>TOTAL / DAY</t>
  </si>
  <si>
    <t>Riskiest shift:</t>
  </si>
  <si>
    <t>Riskiest resource/area:</t>
  </si>
  <si>
    <t>(helper: max unmet by category)</t>
  </si>
  <si>
    <t>TOTAL DAILY COST BUILD-UP</t>
  </si>
  <si>
    <t>Doctor labor (regular + OT)</t>
  </si>
  <si>
    <t>Nurse labor (regular + OT)</t>
  </si>
  <si>
    <t>Technician labor (regular + OT)</t>
  </si>
  <si>
    <t>Penalty — patients not covered</t>
  </si>
  <si>
    <t>Penalty — patients diverted</t>
  </si>
  <si>
    <t>Penalty — bed-hour shortfall</t>
  </si>
  <si>
    <t>TOTAL DAILY COST</t>
  </si>
  <si>
    <t>KPI DASHBOARD</t>
  </si>
  <si>
    <t>Total daily cost</t>
  </si>
  <si>
    <t>Expected arrivals covered (%)</t>
  </si>
  <si>
    <t>Overtime share of labor cost (%)</t>
  </si>
  <si>
    <t>Bed utilization (%)</t>
  </si>
  <si>
    <t>Expected diversions / day</t>
  </si>
  <si>
    <t>Expected patients not covered / day</t>
  </si>
  <si>
    <t>Riskiest shift</t>
  </si>
  <si>
    <t>Riskiest resource/area</t>
  </si>
  <si>
    <t>Policy Lever</t>
  </si>
  <si>
    <t>Balanced (moderate buffer)</t>
  </si>
  <si>
    <t>Resilient (capacity-expanded)</t>
  </si>
  <si>
    <t>Service target</t>
  </si>
  <si>
    <t>Beds added</t>
  </si>
  <si>
    <t>Expand imaging? (1/0)</t>
  </si>
  <si>
    <t>Expand lab? (1/0)</t>
  </si>
  <si>
    <t>Resulting Cost &amp; Service Levels (approximate)</t>
  </si>
  <si>
    <t>Total labor cost (regular + OT)</t>
  </si>
  <si>
    <t>Capacity expansion cost (beds+diag)</t>
  </si>
  <si>
    <t>Est. uncovered patients / day</t>
  </si>
  <si>
    <t>Penalty cost (uncovered + diversion)</t>
  </si>
  <si>
    <t>TOTAL EXPECTED DAILY COST</t>
  </si>
  <si>
    <t>Est. arrival coverage (%)</t>
  </si>
  <si>
    <t>Sensitivity Analysis</t>
  </si>
  <si>
    <t>1. Service Target Sensitivity (Task 6)</t>
  </si>
  <si>
    <t>Service Target</t>
  </si>
  <si>
    <t>Total Daily Cost</t>
  </si>
  <si>
    <t>Coverage %</t>
  </si>
  <si>
    <t>Uncovered Patients/Day</t>
  </si>
  <si>
    <t>Δ Cost vs Current</t>
  </si>
  <si>
    <t>CURRENT (Inputs sheet)</t>
  </si>
  <si>
    <t>OT Cap (% of regular)</t>
  </si>
  <si>
    <t>Penalty: patient not covered (₹)</t>
  </si>
  <si>
    <t>Total Cost — NO expansion</t>
  </si>
  <si>
    <t>Total Cost — WITH +10 beds</t>
  </si>
  <si>
    <t>Savings from expanding</t>
  </si>
  <si>
    <t>Monte Carlo Simulation — stress-testing the Model-sheet staffing plan</t>
  </si>
  <si>
    <t>Trial</t>
  </si>
  <si>
    <t>Case-mix</t>
  </si>
  <si>
    <t>Eff.Cap
Factor</t>
  </si>
  <si>
    <t>Incident?</t>
  </si>
  <si>
    <t>Incident
Shift</t>
  </si>
  <si>
    <t>BedHr
Factor</t>
  </si>
  <si>
    <t>Doc Absent
Frac</t>
  </si>
  <si>
    <t>Nurse Absent
Frac</t>
  </si>
  <si>
    <t>Tech Absent
Frac</t>
  </si>
  <si>
    <t>Arrivals
M</t>
  </si>
  <si>
    <t>Arrivals
E</t>
  </si>
  <si>
    <t>Arrivals
N</t>
  </si>
  <si>
    <t>Unmet
Morning</t>
  </si>
  <si>
    <t>Unmet
Evening</t>
  </si>
  <si>
    <t>Unmet
Night</t>
  </si>
  <si>
    <t>Day Total
Unmet</t>
  </si>
  <si>
    <t>Reactive OT
Cost (₹)</t>
  </si>
  <si>
    <t>SIMULATION SUMMARY (across all trials)</t>
  </si>
  <si>
    <t>Trials simulated</t>
  </si>
  <si>
    <t>P(day meets 95% coverage target)</t>
  </si>
  <si>
    <t>P(any shift understaffed at all)</t>
  </si>
  <si>
    <t>Average total unmet patients / day</t>
  </si>
  <si>
    <t>Average diversions / day (unmet × DivertShare)</t>
  </si>
  <si>
    <t>Average reactive overtime cost / day</t>
  </si>
  <si>
    <t>95th-percentile unmet patients / day (bad-day risk)</t>
  </si>
  <si>
    <t>Worst single-shift unmet observed</t>
  </si>
  <si>
    <t>Average unmet — Morning</t>
  </si>
  <si>
    <t>Average unmet — Evening</t>
  </si>
  <si>
    <t>Average unmet — Night</t>
  </si>
  <si>
    <t>Riskiest shift (highest avg. unmet)</t>
  </si>
  <si>
    <t xml:space="preserve">Metro Care Hospital </t>
  </si>
  <si>
    <t xml:space="preserve">Staffing &amp; Capacity Model </t>
  </si>
  <si>
    <t>Minimalized</t>
  </si>
  <si>
    <t>Strategy Comparison : Minimalised vs Balanced vs Resilient</t>
  </si>
  <si>
    <t xml:space="preserve">2. Overtime Cap Sensitivity </t>
  </si>
  <si>
    <t>3. Are Extra Beds Worth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</si>
</sst>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₹#,##0"/>
    <numFmt numFmtId="166" formatCode="0.0"/>
    <numFmt numFmtId="167" formatCode="\₹#,##0;&quot;(₹&quot;#,##0\)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2"/>
      <color rgb="FF1F4E78"/>
      <name val="Arial"/>
      <family val="2"/>
    </font>
    <font>
      <i/>
      <sz val="9"/>
      <color rgb="FF808080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9" fontId="5" fillId="3" borderId="1" xfId="0" applyNumberFormat="1" applyFont="1" applyFill="1" applyBorder="1"/>
    <xf numFmtId="0" fontId="6" fillId="4" borderId="0" xfId="0" applyFont="1" applyFill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/>
    <xf numFmtId="0" fontId="8" fillId="0" borderId="0" xfId="0" applyFont="1"/>
    <xf numFmtId="165" fontId="0" fillId="0" borderId="0" xfId="0" applyNumberFormat="1"/>
    <xf numFmtId="0" fontId="7" fillId="0" borderId="0" xfId="0" applyFont="1"/>
    <xf numFmtId="0" fontId="0" fillId="0" borderId="0" xfId="0" applyAlignment="1">
      <alignment wrapText="1"/>
    </xf>
    <xf numFmtId="165" fontId="0" fillId="0" borderId="1" xfId="0" applyNumberFormat="1" applyBorder="1"/>
    <xf numFmtId="0" fontId="7" fillId="5" borderId="1" xfId="0" applyFont="1" applyFill="1" applyBorder="1"/>
    <xf numFmtId="165" fontId="0" fillId="5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166" fontId="0" fillId="5" borderId="1" xfId="0" applyNumberFormat="1" applyFill="1" applyBorder="1"/>
    <xf numFmtId="0" fontId="0" fillId="5" borderId="1" xfId="0" applyFill="1" applyBorder="1" applyAlignment="1">
      <alignment wrapText="1"/>
    </xf>
    <xf numFmtId="0" fontId="6" fillId="4" borderId="0" xfId="0" applyFont="1" applyFill="1"/>
    <xf numFmtId="0" fontId="6" fillId="4" borderId="0" xfId="0" applyFont="1" applyFill="1" applyAlignment="1">
      <alignment horizontal="center" wrapText="1"/>
    </xf>
    <xf numFmtId="1" fontId="5" fillId="3" borderId="1" xfId="0" applyNumberFormat="1" applyFont="1" applyFill="1" applyBorder="1"/>
    <xf numFmtId="166" fontId="0" fillId="0" borderId="1" xfId="0" applyNumberFormat="1" applyBorder="1"/>
    <xf numFmtId="165" fontId="7" fillId="5" borderId="1" xfId="0" applyNumberFormat="1" applyFont="1" applyFill="1" applyBorder="1"/>
    <xf numFmtId="9" fontId="0" fillId="0" borderId="1" xfId="0" applyNumberFormat="1" applyBorder="1"/>
    <xf numFmtId="164" fontId="0" fillId="0" borderId="1" xfId="0" applyNumberFormat="1" applyBorder="1"/>
    <xf numFmtId="167" fontId="0" fillId="0" borderId="1" xfId="0" applyNumberFormat="1" applyBorder="1"/>
    <xf numFmtId="0" fontId="9" fillId="5" borderId="1" xfId="0" applyFont="1" applyFill="1" applyBorder="1"/>
    <xf numFmtId="165" fontId="9" fillId="5" borderId="1" xfId="0" applyNumberFormat="1" applyFont="1" applyFill="1" applyBorder="1"/>
    <xf numFmtId="164" fontId="9" fillId="5" borderId="1" xfId="0" applyNumberFormat="1" applyFont="1" applyFill="1" applyBorder="1"/>
    <xf numFmtId="166" fontId="9" fillId="5" borderId="1" xfId="0" applyNumberFormat="1" applyFont="1" applyFill="1" applyBorder="1"/>
    <xf numFmtId="10" fontId="0" fillId="0" borderId="1" xfId="0" applyNumberFormat="1" applyBorder="1"/>
    <xf numFmtId="1" fontId="0" fillId="5" borderId="1" xfId="0" applyNumberFormat="1" applyFill="1" applyBorder="1"/>
    <xf numFmtId="2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showGridLines="0" zoomScaleNormal="100" workbookViewId="0">
      <pane ySplit="3" topLeftCell="A74" activePane="bottomLeft" state="frozen"/>
      <selection pane="bottomLeft" activeCell="C77" sqref="C77"/>
    </sheetView>
  </sheetViews>
  <sheetFormatPr defaultColWidth="8.7109375" defaultRowHeight="15" x14ac:dyDescent="0.25"/>
  <cols>
    <col min="1" max="1" width="40" customWidth="1"/>
    <col min="2" max="2" width="14" customWidth="1"/>
    <col min="3" max="3" width="40" customWidth="1"/>
    <col min="4" max="4" width="14" customWidth="1"/>
  </cols>
  <sheetData>
    <row r="1" spans="1:6" ht="18" x14ac:dyDescent="0.25">
      <c r="A1" s="1" t="s">
        <v>194</v>
      </c>
    </row>
    <row r="2" spans="1:6" x14ac:dyDescent="0.25">
      <c r="A2" s="2"/>
    </row>
    <row r="4" spans="1:6" ht="15.75" x14ac:dyDescent="0.25">
      <c r="A4" s="3" t="s">
        <v>0</v>
      </c>
      <c r="B4" s="4"/>
      <c r="C4" s="4"/>
      <c r="D4" s="4"/>
      <c r="E4" s="4"/>
      <c r="F4" s="4"/>
    </row>
    <row r="5" spans="1:6" x14ac:dyDescent="0.25">
      <c r="A5" s="5" t="s">
        <v>1</v>
      </c>
      <c r="B5" s="6">
        <v>85</v>
      </c>
    </row>
    <row r="6" spans="1:6" x14ac:dyDescent="0.25">
      <c r="A6" s="5" t="s">
        <v>2</v>
      </c>
      <c r="B6" s="6">
        <v>120</v>
      </c>
    </row>
    <row r="7" spans="1:6" x14ac:dyDescent="0.25">
      <c r="A7" s="5" t="s">
        <v>3</v>
      </c>
      <c r="B7" s="6">
        <v>65</v>
      </c>
    </row>
    <row r="8" spans="1:6" x14ac:dyDescent="0.25">
      <c r="A8" s="5" t="s">
        <v>4</v>
      </c>
      <c r="B8" s="6">
        <v>12</v>
      </c>
    </row>
    <row r="9" spans="1:6" x14ac:dyDescent="0.25">
      <c r="A9" s="5" t="s">
        <v>5</v>
      </c>
      <c r="B9" s="6">
        <v>18</v>
      </c>
    </row>
    <row r="10" spans="1:6" x14ac:dyDescent="0.25">
      <c r="A10" s="5" t="s">
        <v>6</v>
      </c>
      <c r="B10" s="6">
        <v>10</v>
      </c>
    </row>
    <row r="11" spans="1:6" x14ac:dyDescent="0.25">
      <c r="A11" s="5" t="s">
        <v>7</v>
      </c>
      <c r="B11" s="7">
        <v>0.22</v>
      </c>
    </row>
    <row r="12" spans="1:6" x14ac:dyDescent="0.25">
      <c r="A12" s="5" t="s">
        <v>8</v>
      </c>
      <c r="B12" s="7">
        <v>0.28000000000000003</v>
      </c>
    </row>
    <row r="13" spans="1:6" x14ac:dyDescent="0.25">
      <c r="A13" s="5" t="s">
        <v>9</v>
      </c>
      <c r="B13" s="7">
        <v>0.3</v>
      </c>
    </row>
    <row r="14" spans="1:6" x14ac:dyDescent="0.25">
      <c r="A14" s="5" t="s">
        <v>10</v>
      </c>
      <c r="B14" s="6">
        <v>2.1</v>
      </c>
    </row>
    <row r="15" spans="1:6" x14ac:dyDescent="0.25">
      <c r="A15" s="5" t="s">
        <v>11</v>
      </c>
      <c r="B15" s="6">
        <v>2.5</v>
      </c>
    </row>
    <row r="16" spans="1:6" x14ac:dyDescent="0.25">
      <c r="A16" s="5" t="s">
        <v>12</v>
      </c>
      <c r="B16" s="6">
        <v>2.7</v>
      </c>
    </row>
    <row r="18" spans="1:6" ht="15.75" x14ac:dyDescent="0.25">
      <c r="A18" s="3" t="s">
        <v>13</v>
      </c>
      <c r="B18" s="4"/>
      <c r="C18" s="4"/>
      <c r="D18" s="4"/>
      <c r="E18" s="4"/>
      <c r="F18" s="4"/>
    </row>
    <row r="19" spans="1:6" x14ac:dyDescent="0.25">
      <c r="A19" s="5" t="s">
        <v>14</v>
      </c>
      <c r="B19" s="6">
        <v>18</v>
      </c>
    </row>
    <row r="20" spans="1:6" x14ac:dyDescent="0.25">
      <c r="A20" s="5" t="s">
        <v>15</v>
      </c>
      <c r="B20" s="6">
        <v>12</v>
      </c>
    </row>
    <row r="21" spans="1:6" x14ac:dyDescent="0.25">
      <c r="A21" s="5" t="s">
        <v>16</v>
      </c>
      <c r="B21" s="6">
        <v>30</v>
      </c>
    </row>
    <row r="22" spans="1:6" x14ac:dyDescent="0.25">
      <c r="A22" s="5" t="s">
        <v>17</v>
      </c>
      <c r="B22" s="8">
        <v>9000</v>
      </c>
    </row>
    <row r="23" spans="1:6" x14ac:dyDescent="0.25">
      <c r="A23" s="5" t="s">
        <v>18</v>
      </c>
      <c r="B23" s="8">
        <v>4500</v>
      </c>
    </row>
    <row r="24" spans="1:6" x14ac:dyDescent="0.25">
      <c r="A24" s="5" t="s">
        <v>19</v>
      </c>
      <c r="B24" s="8">
        <v>3500</v>
      </c>
    </row>
    <row r="25" spans="1:6" x14ac:dyDescent="0.25">
      <c r="A25" s="5" t="s">
        <v>20</v>
      </c>
      <c r="B25" s="8">
        <v>13500</v>
      </c>
    </row>
    <row r="26" spans="1:6" x14ac:dyDescent="0.25">
      <c r="A26" s="5" t="s">
        <v>21</v>
      </c>
      <c r="B26" s="8">
        <v>6500</v>
      </c>
    </row>
    <row r="27" spans="1:6" x14ac:dyDescent="0.25">
      <c r="A27" s="5" t="s">
        <v>22</v>
      </c>
      <c r="B27" s="8">
        <v>5000</v>
      </c>
    </row>
    <row r="28" spans="1:6" x14ac:dyDescent="0.25">
      <c r="A28" s="5" t="s">
        <v>23</v>
      </c>
      <c r="B28" s="6">
        <v>16</v>
      </c>
    </row>
    <row r="29" spans="1:6" x14ac:dyDescent="0.25">
      <c r="A29" s="5" t="s">
        <v>24</v>
      </c>
      <c r="B29" s="6">
        <v>28</v>
      </c>
    </row>
    <row r="30" spans="1:6" x14ac:dyDescent="0.25">
      <c r="A30" s="5" t="s">
        <v>25</v>
      </c>
      <c r="B30" s="6">
        <v>10</v>
      </c>
    </row>
    <row r="32" spans="1:6" ht="15.75" x14ac:dyDescent="0.25">
      <c r="A32" s="3" t="s">
        <v>26</v>
      </c>
      <c r="B32" s="4"/>
      <c r="C32" s="4"/>
      <c r="D32" s="4"/>
      <c r="E32" s="4"/>
      <c r="F32" s="4"/>
    </row>
    <row r="33" spans="1:6" x14ac:dyDescent="0.25">
      <c r="A33" s="5" t="s">
        <v>27</v>
      </c>
      <c r="B33" s="9">
        <v>0.95</v>
      </c>
      <c r="C33" s="2"/>
    </row>
    <row r="34" spans="1:6" x14ac:dyDescent="0.25">
      <c r="A34" s="5" t="s">
        <v>28</v>
      </c>
      <c r="B34" s="9">
        <v>0.25</v>
      </c>
    </row>
    <row r="35" spans="1:6" x14ac:dyDescent="0.25">
      <c r="A35" s="5" t="s">
        <v>29</v>
      </c>
      <c r="B35" s="6">
        <v>8</v>
      </c>
    </row>
    <row r="37" spans="1:6" ht="15.75" x14ac:dyDescent="0.25">
      <c r="A37" s="3" t="s">
        <v>30</v>
      </c>
      <c r="B37" s="4"/>
      <c r="C37" s="4"/>
      <c r="D37" s="4"/>
      <c r="E37" s="4"/>
      <c r="F37" s="4"/>
    </row>
    <row r="38" spans="1:6" x14ac:dyDescent="0.25">
      <c r="A38" s="5" t="s">
        <v>31</v>
      </c>
      <c r="B38" s="6">
        <v>34</v>
      </c>
    </row>
    <row r="39" spans="1:6" x14ac:dyDescent="0.25">
      <c r="A39" s="5" t="s">
        <v>32</v>
      </c>
      <c r="B39" s="6">
        <v>44</v>
      </c>
    </row>
    <row r="40" spans="1:6" x14ac:dyDescent="0.25">
      <c r="A40" s="5" t="s">
        <v>33</v>
      </c>
      <c r="B40" s="8">
        <v>1500</v>
      </c>
    </row>
    <row r="41" spans="1:6" x14ac:dyDescent="0.25">
      <c r="A41" s="5" t="s">
        <v>34</v>
      </c>
      <c r="B41" s="6">
        <v>0</v>
      </c>
      <c r="C41" s="2"/>
    </row>
    <row r="42" spans="1:6" x14ac:dyDescent="0.25">
      <c r="A42" s="5" t="s">
        <v>35</v>
      </c>
      <c r="B42" s="6">
        <v>52</v>
      </c>
    </row>
    <row r="43" spans="1:6" x14ac:dyDescent="0.25">
      <c r="A43" s="5" t="s">
        <v>36</v>
      </c>
      <c r="B43" s="6">
        <v>10</v>
      </c>
    </row>
    <row r="44" spans="1:6" x14ac:dyDescent="0.25">
      <c r="A44" s="5" t="s">
        <v>37</v>
      </c>
      <c r="B44" s="8">
        <v>18000</v>
      </c>
    </row>
    <row r="45" spans="1:6" x14ac:dyDescent="0.25">
      <c r="A45" s="5" t="s">
        <v>38</v>
      </c>
      <c r="B45" s="6">
        <v>0</v>
      </c>
      <c r="C45" s="2"/>
    </row>
    <row r="46" spans="1:6" x14ac:dyDescent="0.25">
      <c r="A46" s="5" t="s">
        <v>39</v>
      </c>
      <c r="B46" s="6">
        <v>95</v>
      </c>
    </row>
    <row r="47" spans="1:6" x14ac:dyDescent="0.25">
      <c r="A47" s="5" t="s">
        <v>40</v>
      </c>
      <c r="B47" s="6">
        <v>20</v>
      </c>
    </row>
    <row r="48" spans="1:6" x14ac:dyDescent="0.25">
      <c r="A48" s="5" t="s">
        <v>41</v>
      </c>
      <c r="B48" s="8">
        <v>12000</v>
      </c>
    </row>
    <row r="49" spans="1:6" x14ac:dyDescent="0.25">
      <c r="A49" s="5" t="s">
        <v>42</v>
      </c>
      <c r="B49" s="6">
        <v>0</v>
      </c>
      <c r="C49" s="2"/>
    </row>
    <row r="51" spans="1:6" ht="15.75" x14ac:dyDescent="0.25">
      <c r="A51" s="3" t="s">
        <v>43</v>
      </c>
      <c r="B51" s="4"/>
      <c r="C51" s="4"/>
      <c r="D51" s="4"/>
      <c r="E51" s="4"/>
      <c r="F51" s="4"/>
    </row>
    <row r="52" spans="1:6" x14ac:dyDescent="0.25">
      <c r="A52" s="5" t="s">
        <v>44</v>
      </c>
      <c r="B52" s="8">
        <v>6000</v>
      </c>
    </row>
    <row r="53" spans="1:6" x14ac:dyDescent="0.25">
      <c r="A53" s="5" t="s">
        <v>45</v>
      </c>
      <c r="B53" s="8">
        <v>9500</v>
      </c>
    </row>
    <row r="54" spans="1:6" x14ac:dyDescent="0.25">
      <c r="A54" s="5" t="s">
        <v>46</v>
      </c>
      <c r="B54" s="8">
        <v>1200</v>
      </c>
    </row>
    <row r="55" spans="1:6" x14ac:dyDescent="0.25">
      <c r="A55" s="5" t="s">
        <v>47</v>
      </c>
      <c r="B55" s="9">
        <v>0.3</v>
      </c>
    </row>
    <row r="57" spans="1:6" ht="15.75" x14ac:dyDescent="0.25">
      <c r="A57" s="3" t="s">
        <v>48</v>
      </c>
      <c r="B57" s="4"/>
      <c r="C57" s="4"/>
      <c r="D57" s="4"/>
      <c r="E57" s="4"/>
      <c r="F57" s="4"/>
    </row>
    <row r="58" spans="1:6" x14ac:dyDescent="0.25">
      <c r="A58" s="5" t="s">
        <v>49</v>
      </c>
      <c r="B58" s="6">
        <v>0</v>
      </c>
      <c r="C58" s="2"/>
    </row>
    <row r="59" spans="1:6" x14ac:dyDescent="0.25">
      <c r="A59" s="5" t="s">
        <v>50</v>
      </c>
      <c r="B59" s="6">
        <v>2</v>
      </c>
    </row>
    <row r="60" spans="1:6" x14ac:dyDescent="0.25">
      <c r="A60" s="5" t="s">
        <v>51</v>
      </c>
      <c r="B60" s="9">
        <v>0.35</v>
      </c>
    </row>
    <row r="61" spans="1:6" x14ac:dyDescent="0.25">
      <c r="A61" s="5" t="s">
        <v>52</v>
      </c>
      <c r="B61" s="9">
        <v>0</v>
      </c>
      <c r="C61" s="2"/>
    </row>
    <row r="62" spans="1:6" x14ac:dyDescent="0.25">
      <c r="A62" s="5" t="s">
        <v>53</v>
      </c>
      <c r="B62" s="9">
        <v>0</v>
      </c>
    </row>
    <row r="63" spans="1:6" x14ac:dyDescent="0.25">
      <c r="A63" s="5" t="s">
        <v>54</v>
      </c>
      <c r="B63" s="9">
        <v>0</v>
      </c>
    </row>
    <row r="64" spans="1:6" x14ac:dyDescent="0.25">
      <c r="A64" s="5" t="s">
        <v>55</v>
      </c>
      <c r="B64" s="6">
        <v>0</v>
      </c>
      <c r="C64" s="2"/>
    </row>
    <row r="65" spans="1:6" x14ac:dyDescent="0.25">
      <c r="A65" s="5" t="s">
        <v>56</v>
      </c>
      <c r="B65" s="6">
        <v>0</v>
      </c>
    </row>
    <row r="66" spans="1:6" x14ac:dyDescent="0.25">
      <c r="A66" s="5" t="s">
        <v>57</v>
      </c>
      <c r="B66" s="6">
        <v>0</v>
      </c>
    </row>
    <row r="69" spans="1:6" ht="15.75" x14ac:dyDescent="0.25">
      <c r="A69" s="3" t="s">
        <v>58</v>
      </c>
      <c r="B69" s="4"/>
      <c r="C69" s="4"/>
      <c r="D69" s="4"/>
      <c r="E69" s="4"/>
      <c r="F69" s="4"/>
    </row>
    <row r="70" spans="1:6" x14ac:dyDescent="0.25">
      <c r="A70" s="5" t="s">
        <v>59</v>
      </c>
      <c r="B70" s="6">
        <v>300</v>
      </c>
    </row>
    <row r="71" spans="1:6" x14ac:dyDescent="0.25">
      <c r="A71" s="5" t="s">
        <v>60</v>
      </c>
      <c r="B71" s="9">
        <v>0.7</v>
      </c>
    </row>
    <row r="72" spans="1:6" x14ac:dyDescent="0.25">
      <c r="A72" s="5" t="s">
        <v>61</v>
      </c>
      <c r="B72" s="9">
        <v>0.2</v>
      </c>
    </row>
    <row r="73" spans="1:6" x14ac:dyDescent="0.25">
      <c r="A73" s="5" t="s">
        <v>62</v>
      </c>
      <c r="B73" s="9">
        <v>0.1</v>
      </c>
    </row>
    <row r="74" spans="1:6" x14ac:dyDescent="0.25">
      <c r="A74" s="5" t="s">
        <v>63</v>
      </c>
      <c r="B74" s="9">
        <v>0.04</v>
      </c>
    </row>
    <row r="75" spans="1:6" x14ac:dyDescent="0.25">
      <c r="A75" s="5" t="s">
        <v>64</v>
      </c>
      <c r="B75" s="9">
        <v>0.06</v>
      </c>
    </row>
    <row r="76" spans="1:6" x14ac:dyDescent="0.25">
      <c r="A76" s="5" t="s">
        <v>65</v>
      </c>
      <c r="B76" s="9">
        <v>0.05</v>
      </c>
    </row>
    <row r="77" spans="1:6" x14ac:dyDescent="0.25">
      <c r="A77" s="5" t="s">
        <v>66</v>
      </c>
      <c r="B77" s="9">
        <v>0.04</v>
      </c>
    </row>
    <row r="78" spans="1:6" x14ac:dyDescent="0.25">
      <c r="A78" s="5" t="s">
        <v>67</v>
      </c>
      <c r="B78" s="9"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"/>
  <sheetViews>
    <sheetView showGridLines="0" topLeftCell="A73" zoomScaleNormal="100" workbookViewId="0">
      <selection activeCell="A2" sqref="A2"/>
    </sheetView>
  </sheetViews>
  <sheetFormatPr defaultColWidth="8.7109375" defaultRowHeight="15" x14ac:dyDescent="0.25"/>
  <cols>
    <col min="1" max="1" width="16" customWidth="1"/>
    <col min="2" max="4" width="13" customWidth="1"/>
    <col min="5" max="5" width="12" customWidth="1"/>
    <col min="6" max="6" width="10" customWidth="1"/>
    <col min="7" max="7" width="13" customWidth="1"/>
    <col min="8" max="8" width="11" customWidth="1"/>
    <col min="9" max="9" width="13" customWidth="1"/>
    <col min="10" max="10" width="12" customWidth="1"/>
  </cols>
  <sheetData>
    <row r="1" spans="1:10" ht="18" x14ac:dyDescent="0.25">
      <c r="A1" s="1" t="s">
        <v>195</v>
      </c>
    </row>
    <row r="2" spans="1:10" x14ac:dyDescent="0.25">
      <c r="A2" s="2"/>
    </row>
    <row r="4" spans="1:10" ht="15.75" x14ac:dyDescent="0.25">
      <c r="A4" s="3" t="s">
        <v>68</v>
      </c>
      <c r="B4" s="4"/>
      <c r="C4" s="4"/>
      <c r="D4" s="4"/>
      <c r="E4" s="4"/>
      <c r="F4" s="4"/>
      <c r="G4" s="4"/>
      <c r="H4" s="4"/>
      <c r="I4" s="4"/>
      <c r="J4" s="4"/>
    </row>
    <row r="5" spans="1:10" ht="27.75" customHeight="1" x14ac:dyDescent="0.25">
      <c r="A5" s="10" t="s">
        <v>69</v>
      </c>
      <c r="B5" s="10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0" t="s">
        <v>75</v>
      </c>
      <c r="H5" s="10" t="s">
        <v>76</v>
      </c>
      <c r="I5" s="10" t="s">
        <v>77</v>
      </c>
      <c r="J5" s="10" t="s">
        <v>78</v>
      </c>
    </row>
    <row r="6" spans="1:10" x14ac:dyDescent="0.25">
      <c r="A6" s="11" t="s">
        <v>79</v>
      </c>
      <c r="B6" s="11">
        <f>Arr_M*IF(IncidentOn=1,IF(IncidentShiftNum=1,1+IncidentSeverity,1),1)</f>
        <v>85</v>
      </c>
      <c r="C6" s="11">
        <f>B6</f>
        <v>85</v>
      </c>
      <c r="D6" s="11">
        <f>ROUNDUP(ServiceTarget*C6/Cap_Nurse,0)</f>
        <v>7</v>
      </c>
      <c r="E6" s="11">
        <f>ROUNDUP(D6/(1+OTCapPct),0)</f>
        <v>6</v>
      </c>
      <c r="F6" s="11">
        <f>MIN(MAX($I$9-(F7),0),(D6-E6))</f>
        <v>0</v>
      </c>
      <c r="G6" s="11">
        <f>IF($G$10&gt;0,ROUND(E6*G9/E9,0),D6-F6)</f>
        <v>7</v>
      </c>
      <c r="H6" s="11">
        <f>IF($G$10&gt;0,ROUND(OTCapPct*G6,0),F6)</f>
        <v>0</v>
      </c>
      <c r="I6" s="11">
        <f>MAX(0,D6-G6-H6)</f>
        <v>0</v>
      </c>
      <c r="J6" s="11">
        <f>I6*Cap_Nurse</f>
        <v>0</v>
      </c>
    </row>
    <row r="7" spans="1:10" x14ac:dyDescent="0.25">
      <c r="A7" s="11" t="s">
        <v>80</v>
      </c>
      <c r="B7" s="11">
        <f>Arr_E*IF(IncidentOn=1,IF(IncidentShiftNum=2,1+IncidentSeverity,1),1)</f>
        <v>120</v>
      </c>
      <c r="C7" s="11">
        <f>B7</f>
        <v>120</v>
      </c>
      <c r="D7" s="11">
        <f>ROUNDUP(ServiceTarget*C7/Cap_Nurse,0)</f>
        <v>10</v>
      </c>
      <c r="E7" s="11">
        <f>ROUNDUP(D7/(1+OTCapPct),0)</f>
        <v>8</v>
      </c>
      <c r="F7" s="11">
        <f>MIN($I$9,(D7-E7))</f>
        <v>0</v>
      </c>
      <c r="G7" s="11">
        <f>IF($G$10&gt;0,ROUND(E7*G9/E9,0),D7-F7)</f>
        <v>10</v>
      </c>
      <c r="H7" s="11">
        <f>IF($G$10&gt;0,ROUND(OTCapPct*G7,0),F7)</f>
        <v>0</v>
      </c>
      <c r="I7" s="11">
        <f>MAX(0,D7-G7-H7)</f>
        <v>0</v>
      </c>
      <c r="J7" s="11">
        <f>I7*Cap_Nurse</f>
        <v>0</v>
      </c>
    </row>
    <row r="8" spans="1:10" x14ac:dyDescent="0.25">
      <c r="A8" s="11" t="s">
        <v>81</v>
      </c>
      <c r="B8" s="11">
        <f>Arr_N*IF(IncidentOn=1,IF(IncidentShiftNum=3,1+IncidentSeverity,1),1)</f>
        <v>65</v>
      </c>
      <c r="C8" s="11">
        <f>B8</f>
        <v>65</v>
      </c>
      <c r="D8" s="11">
        <f>ROUNDUP(ServiceTarget*C8/Cap_Nurse,0)</f>
        <v>6</v>
      </c>
      <c r="E8" s="11">
        <f>ROUNDUP(D8/(1+OTCapPct),0)</f>
        <v>5</v>
      </c>
      <c r="F8" s="11">
        <f>MIN(MAX($I$9-(F7+F6),0),(D8-E8))</f>
        <v>0</v>
      </c>
      <c r="G8" s="11">
        <f>IF($G$10&gt;0,ROUND(E8*G9/E9,0),D8-F8)</f>
        <v>6</v>
      </c>
      <c r="H8" s="11">
        <f>IF($G$10&gt;0,ROUND(OTCapPct*G8,0),F8)</f>
        <v>0</v>
      </c>
      <c r="I8" s="11">
        <f>MAX(0,D8-G8-H8)</f>
        <v>0</v>
      </c>
      <c r="J8" s="11">
        <f>I8*Cap_Nurse</f>
        <v>0</v>
      </c>
    </row>
    <row r="9" spans="1:10" x14ac:dyDescent="0.25">
      <c r="A9" s="12" t="s">
        <v>82</v>
      </c>
      <c r="B9" s="12"/>
      <c r="C9" s="12"/>
      <c r="D9" s="12">
        <f>SUM(D6:D8)</f>
        <v>23</v>
      </c>
      <c r="E9" s="12">
        <f>SUM(E6:E8)</f>
        <v>19</v>
      </c>
      <c r="F9" s="12" t="s">
        <v>83</v>
      </c>
      <c r="G9" s="12">
        <f>Avail_Nurse*(1-NurseAbsence)*IF(NurseUnavail=1,0,1)</f>
        <v>28</v>
      </c>
      <c r="H9" s="12" t="s">
        <v>84</v>
      </c>
      <c r="I9" s="12">
        <f>MAX(0,D9-G9)</f>
        <v>0</v>
      </c>
      <c r="J9" s="12"/>
    </row>
    <row r="10" spans="1:10" x14ac:dyDescent="0.25">
      <c r="A10" s="12"/>
      <c r="B10" s="12"/>
      <c r="C10" s="12"/>
      <c r="D10" s="12"/>
      <c r="E10" s="12"/>
      <c r="F10" s="12" t="s">
        <v>85</v>
      </c>
      <c r="G10" s="12">
        <f>MAX(0,E9-G9)</f>
        <v>0</v>
      </c>
      <c r="H10" s="12"/>
      <c r="I10" s="12"/>
      <c r="J10" s="12"/>
    </row>
    <row r="11" spans="1:10" x14ac:dyDescent="0.25">
      <c r="A11" s="13" t="s">
        <v>86</v>
      </c>
      <c r="B11" s="14">
        <f>SUM(G6:G8)*RegCost_Nurse+SUM(H6:H8)*OTCost_Nurse</f>
        <v>103500</v>
      </c>
    </row>
    <row r="13" spans="1:10" ht="15.75" x14ac:dyDescent="0.25">
      <c r="A13" s="3" t="s">
        <v>87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ht="27.75" customHeight="1" x14ac:dyDescent="0.25">
      <c r="A14" s="10" t="s">
        <v>69</v>
      </c>
      <c r="B14" s="10" t="s">
        <v>70</v>
      </c>
      <c r="C14" s="10" t="s">
        <v>71</v>
      </c>
      <c r="D14" s="10" t="s">
        <v>72</v>
      </c>
      <c r="E14" s="10" t="s">
        <v>73</v>
      </c>
      <c r="F14" s="10" t="s">
        <v>74</v>
      </c>
      <c r="G14" s="10" t="s">
        <v>75</v>
      </c>
      <c r="H14" s="10" t="s">
        <v>76</v>
      </c>
      <c r="I14" s="10" t="s">
        <v>77</v>
      </c>
      <c r="J14" s="10" t="s">
        <v>78</v>
      </c>
    </row>
    <row r="15" spans="1:10" x14ac:dyDescent="0.25">
      <c r="A15" s="11" t="s">
        <v>79</v>
      </c>
      <c r="B15" s="11">
        <f>Arr_M*IF(IncidentOn=1,IF(IncidentShiftNum=1,1+IncidentSeverity,1),1)</f>
        <v>85</v>
      </c>
      <c r="C15" s="11">
        <f>B15</f>
        <v>85</v>
      </c>
      <c r="D15" s="11">
        <f>MAX(ROUNDUP(ServiceTarget*C15/Cap_Tech,0),2)</f>
        <v>3</v>
      </c>
      <c r="E15" s="11">
        <f>ROUNDUP(D15/(1+OTCapPct),0)</f>
        <v>3</v>
      </c>
      <c r="F15" s="11">
        <f>MIN(MAX($I$18-(F16),0),(D15-E15))</f>
        <v>0</v>
      </c>
      <c r="G15" s="11">
        <f>IF($G$19&gt;0,ROUND(E15*G18/E18,0),D15-F15)</f>
        <v>3</v>
      </c>
      <c r="H15" s="11">
        <f>IF($G$19&gt;0,ROUND(OTCapPct*G15,0),F15)</f>
        <v>0</v>
      </c>
      <c r="I15" s="11">
        <f>MAX(0,D15-G15-H15)</f>
        <v>0</v>
      </c>
      <c r="J15" s="11">
        <f>I15*Cap_Tech</f>
        <v>0</v>
      </c>
    </row>
    <row r="16" spans="1:10" x14ac:dyDescent="0.25">
      <c r="A16" s="11" t="s">
        <v>80</v>
      </c>
      <c r="B16" s="11">
        <f>Arr_E*IF(IncidentOn=1,IF(IncidentShiftNum=2,1+IncidentSeverity,1),1)</f>
        <v>120</v>
      </c>
      <c r="C16" s="11">
        <f>B16</f>
        <v>120</v>
      </c>
      <c r="D16" s="11">
        <f>MAX(ROUNDUP(ServiceTarget*C16/Cap_Tech,0),2)</f>
        <v>4</v>
      </c>
      <c r="E16" s="11">
        <f>ROUNDUP(D16/(1+OTCapPct),0)</f>
        <v>4</v>
      </c>
      <c r="F16" s="11">
        <f>MIN($I$18,(D16-E16))</f>
        <v>0</v>
      </c>
      <c r="G16" s="11">
        <f>IF($G$19&gt;0,ROUND(E16*G18/E18,0),D16-F16)</f>
        <v>4</v>
      </c>
      <c r="H16" s="11">
        <f>IF($G$19&gt;0,ROUND(OTCapPct*G16,0),F16)</f>
        <v>0</v>
      </c>
      <c r="I16" s="11">
        <f>MAX(0,D16-G16-H16)</f>
        <v>0</v>
      </c>
      <c r="J16" s="11">
        <f>I16*Cap_Tech</f>
        <v>0</v>
      </c>
    </row>
    <row r="17" spans="1:10" x14ac:dyDescent="0.25">
      <c r="A17" s="11" t="s">
        <v>81</v>
      </c>
      <c r="B17" s="11">
        <f>Arr_N*IF(IncidentOn=1,IF(IncidentShiftNum=3,1+IncidentSeverity,1),1)</f>
        <v>65</v>
      </c>
      <c r="C17" s="11">
        <f>B17</f>
        <v>65</v>
      </c>
      <c r="D17" s="11">
        <f>MAX(ROUNDUP(ServiceTarget*C17/Cap_Tech,0),2)</f>
        <v>3</v>
      </c>
      <c r="E17" s="11">
        <f>ROUNDUP(D17/(1+OTCapPct),0)</f>
        <v>3</v>
      </c>
      <c r="F17" s="11">
        <f>MIN(MAX($I$18-(F16+F15),0),(D17-E17))</f>
        <v>0</v>
      </c>
      <c r="G17" s="11">
        <f>IF($G$19&gt;0,ROUND(E17*G18/E18,0),D17-F17)</f>
        <v>3</v>
      </c>
      <c r="H17" s="11">
        <f>IF($G$19&gt;0,ROUND(OTCapPct*G17,0),F17)</f>
        <v>0</v>
      </c>
      <c r="I17" s="11">
        <f>MAX(0,D17-G17-H17)</f>
        <v>0</v>
      </c>
      <c r="J17" s="11">
        <f>I17*Cap_Tech</f>
        <v>0</v>
      </c>
    </row>
    <row r="18" spans="1:10" x14ac:dyDescent="0.25">
      <c r="A18" s="12" t="s">
        <v>82</v>
      </c>
      <c r="B18" s="12"/>
      <c r="C18" s="12"/>
      <c r="D18" s="12">
        <f>SUM(D15:D17)</f>
        <v>10</v>
      </c>
      <c r="E18" s="12">
        <f>SUM(E15:E17)</f>
        <v>10</v>
      </c>
      <c r="F18" s="12" t="s">
        <v>83</v>
      </c>
      <c r="G18" s="12">
        <f>Avail_Tech*(1-TechAbsence)*IF(TechUnavail=1,0,1)</f>
        <v>10</v>
      </c>
      <c r="H18" s="12" t="s">
        <v>84</v>
      </c>
      <c r="I18" s="12">
        <f>MAX(0,D18-G18)</f>
        <v>0</v>
      </c>
      <c r="J18" s="12"/>
    </row>
    <row r="19" spans="1:10" x14ac:dyDescent="0.25">
      <c r="A19" s="12"/>
      <c r="B19" s="12"/>
      <c r="C19" s="12"/>
      <c r="D19" s="12"/>
      <c r="E19" s="12"/>
      <c r="F19" s="12" t="s">
        <v>85</v>
      </c>
      <c r="G19" s="12">
        <f>MAX(0,E18-G18)</f>
        <v>0</v>
      </c>
      <c r="H19" s="12"/>
      <c r="I19" s="12"/>
      <c r="J19" s="12"/>
    </row>
    <row r="20" spans="1:10" x14ac:dyDescent="0.25">
      <c r="A20" s="13" t="s">
        <v>86</v>
      </c>
      <c r="B20" s="14">
        <f>SUM(G15:G17)*RegCost_Tech+SUM(H15:H17)*OTCost_Tech</f>
        <v>35000</v>
      </c>
    </row>
    <row r="22" spans="1:10" ht="15.75" x14ac:dyDescent="0.25">
      <c r="A22" s="3" t="s">
        <v>88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27.75" customHeight="1" x14ac:dyDescent="0.25">
      <c r="A23" s="10" t="s">
        <v>69</v>
      </c>
      <c r="B23" s="10" t="s">
        <v>70</v>
      </c>
      <c r="C23" s="10" t="s">
        <v>71</v>
      </c>
      <c r="D23" s="10" t="s">
        <v>72</v>
      </c>
      <c r="E23" s="10" t="s">
        <v>73</v>
      </c>
      <c r="F23" s="10" t="s">
        <v>74</v>
      </c>
      <c r="G23" s="10" t="s">
        <v>75</v>
      </c>
      <c r="H23" s="10" t="s">
        <v>76</v>
      </c>
      <c r="I23" s="10" t="s">
        <v>77</v>
      </c>
      <c r="J23" s="10" t="s">
        <v>78</v>
      </c>
    </row>
    <row r="24" spans="1:10" x14ac:dyDescent="0.25">
      <c r="A24" s="11" t="s">
        <v>79</v>
      </c>
      <c r="B24" s="11">
        <f>Arr_M*IF(IncidentOn=1,IF(IncidentShiftNum=1,1+IncidentSeverity,1),1)</f>
        <v>85</v>
      </c>
      <c r="C24" s="11">
        <f>B24*(1+0.5*Acuity_M)</f>
        <v>94.350000000000009</v>
      </c>
      <c r="D24" s="11">
        <f>MAX(ROUNDUP(ServiceTarget*C24/Cap_Doc,0),ROUNDUP(0.5*(G6+H6),0))</f>
        <v>5</v>
      </c>
      <c r="E24" s="11">
        <f>ROUNDUP(D24/(1+OTCapPct),0)</f>
        <v>4</v>
      </c>
      <c r="F24" s="11">
        <f>MIN(MAX($I$27-(F25),0),(D24-E24))</f>
        <v>0</v>
      </c>
      <c r="G24" s="11">
        <f>IF($G$28&gt;0,ROUND(E24*G27/E27,0),D24-F24)</f>
        <v>5</v>
      </c>
      <c r="H24" s="11">
        <f>IF($G$28&gt;0,ROUND(OTCapPct*G24,0),F24)</f>
        <v>0</v>
      </c>
      <c r="I24" s="11">
        <f>MAX(0,D24-G24-H24)</f>
        <v>0</v>
      </c>
      <c r="J24" s="11">
        <f>I24*Cap_Doc</f>
        <v>0</v>
      </c>
    </row>
    <row r="25" spans="1:10" x14ac:dyDescent="0.25">
      <c r="A25" s="11" t="s">
        <v>80</v>
      </c>
      <c r="B25" s="11">
        <f>Arr_E*IF(IncidentOn=1,IF(IncidentShiftNum=2,1+IncidentSeverity,1),1)</f>
        <v>120</v>
      </c>
      <c r="C25" s="11">
        <f>B25*(1+0.5*Acuity_E)</f>
        <v>136.80000000000001</v>
      </c>
      <c r="D25" s="11">
        <f>MAX(ROUNDUP(ServiceTarget*C25/Cap_Doc,0),ROUNDUP(0.5*(G7+H7),0))</f>
        <v>8</v>
      </c>
      <c r="E25" s="11">
        <f>ROUNDUP(D25/(1+OTCapPct),0)</f>
        <v>7</v>
      </c>
      <c r="F25" s="11">
        <f>MIN($I$27,(D25-E25))</f>
        <v>1</v>
      </c>
      <c r="G25" s="11">
        <f>IF($G$28&gt;0,ROUND(E25*G27/E27,0),D25-F25)</f>
        <v>7</v>
      </c>
      <c r="H25" s="11">
        <f>IF($G$28&gt;0,ROUND(OTCapPct*G25,0),F25)</f>
        <v>1</v>
      </c>
      <c r="I25" s="11">
        <f>MAX(0,D25-G25-H25)</f>
        <v>0</v>
      </c>
      <c r="J25" s="11">
        <f>I25*Cap_Doc</f>
        <v>0</v>
      </c>
    </row>
    <row r="26" spans="1:10" x14ac:dyDescent="0.25">
      <c r="A26" s="11" t="s">
        <v>81</v>
      </c>
      <c r="B26" s="11">
        <f>Arr_N*IF(IncidentOn=1,IF(IncidentShiftNum=3,1+IncidentSeverity,1),1)</f>
        <v>65</v>
      </c>
      <c r="C26" s="11">
        <f>B26*(1+0.5*Acuity_N)</f>
        <v>74.75</v>
      </c>
      <c r="D26" s="11">
        <f>MAX(ROUNDUP(ServiceTarget*C26/Cap_Doc,0),MAX(ROUNDUP(0.5*(G8+H8),0),4))</f>
        <v>4</v>
      </c>
      <c r="E26" s="11">
        <f>ROUNDUP(D26/(1+OTCapPct),0)</f>
        <v>4</v>
      </c>
      <c r="F26" s="11">
        <f>MIN(MAX($I$27-(F25+F24),0),(D26-E26))</f>
        <v>0</v>
      </c>
      <c r="G26" s="11">
        <f>IF($G$28&gt;0,ROUND(E26*G27/E27,0),D26-F26)</f>
        <v>4</v>
      </c>
      <c r="H26" s="11">
        <f>IF($G$28&gt;0,ROUND(OTCapPct*G26,0),F26)</f>
        <v>0</v>
      </c>
      <c r="I26" s="11">
        <f>MAX(0,D26-G26-H26)</f>
        <v>0</v>
      </c>
      <c r="J26" s="11">
        <f>I26*Cap_Doc</f>
        <v>0</v>
      </c>
    </row>
    <row r="27" spans="1:10" x14ac:dyDescent="0.25">
      <c r="A27" s="12" t="s">
        <v>82</v>
      </c>
      <c r="B27" s="12"/>
      <c r="C27" s="12"/>
      <c r="D27" s="12">
        <f>SUM(D24:D26)</f>
        <v>17</v>
      </c>
      <c r="E27" s="12">
        <f>SUM(E24:E26)</f>
        <v>15</v>
      </c>
      <c r="F27" s="12" t="s">
        <v>83</v>
      </c>
      <c r="G27" s="12">
        <f>Avail_Doc*(1-DocAbsence)*IF(DocUnavail=1,0,1)</f>
        <v>16</v>
      </c>
      <c r="H27" s="12" t="s">
        <v>84</v>
      </c>
      <c r="I27" s="12">
        <f>MAX(0,D27-G27)</f>
        <v>1</v>
      </c>
      <c r="J27" s="12"/>
    </row>
    <row r="28" spans="1:10" x14ac:dyDescent="0.25">
      <c r="A28" s="12"/>
      <c r="B28" s="12"/>
      <c r="C28" s="12"/>
      <c r="D28" s="12"/>
      <c r="E28" s="12"/>
      <c r="F28" s="12" t="s">
        <v>85</v>
      </c>
      <c r="G28" s="12">
        <f>MAX(0,E27-G27)</f>
        <v>0</v>
      </c>
      <c r="H28" s="12"/>
      <c r="I28" s="12"/>
      <c r="J28" s="12"/>
    </row>
    <row r="29" spans="1:10" x14ac:dyDescent="0.25">
      <c r="A29" s="13" t="s">
        <v>86</v>
      </c>
      <c r="B29" s="14">
        <f>SUM(G24:G26)*RegCost_Doc+SUM(H24:H26)*OTCost_Doc</f>
        <v>157500</v>
      </c>
    </row>
    <row r="31" spans="1:10" ht="15.75" x14ac:dyDescent="0.25">
      <c r="A31" s="3" t="s">
        <v>89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27.75" customHeight="1" x14ac:dyDescent="0.25">
      <c r="A32" s="10" t="s">
        <v>69</v>
      </c>
      <c r="B32" s="10" t="s">
        <v>70</v>
      </c>
      <c r="C32" s="10" t="s">
        <v>90</v>
      </c>
      <c r="D32" s="10" t="s">
        <v>91</v>
      </c>
      <c r="E32" s="10" t="s">
        <v>92</v>
      </c>
      <c r="F32" s="10" t="s">
        <v>93</v>
      </c>
      <c r="G32" s="10" t="s">
        <v>94</v>
      </c>
    </row>
    <row r="33" spans="1:10" x14ac:dyDescent="0.25">
      <c r="A33" s="11" t="s">
        <v>79</v>
      </c>
      <c r="B33" s="11">
        <f>Arr_M*IF(IncidentOn=1,IF(IncidentShiftNum=1,1+IncidentSeverity,1),1)</f>
        <v>85</v>
      </c>
      <c r="C33" s="11">
        <f>(BedsCurrent+BedsAdded)*ShiftHours/BedHr_M</f>
        <v>129.52380952380952</v>
      </c>
      <c r="D33" s="11">
        <f>(BedsCurrent+BedsAdded)*ShiftHours</f>
        <v>272</v>
      </c>
      <c r="E33" s="11">
        <f>ServiceTarget*B33*BedHr_M</f>
        <v>169.57500000000002</v>
      </c>
      <c r="F33" s="11">
        <f>MAX(0,E33-D33)</f>
        <v>0</v>
      </c>
      <c r="G33" s="11">
        <f>MAX(0,ServiceTarget*B33-C33)</f>
        <v>0</v>
      </c>
    </row>
    <row r="34" spans="1:10" x14ac:dyDescent="0.25">
      <c r="A34" s="11" t="s">
        <v>80</v>
      </c>
      <c r="B34" s="11">
        <f>Arr_E*IF(IncidentOn=1,IF(IncidentShiftNum=2,1+IncidentSeverity,1),1)</f>
        <v>120</v>
      </c>
      <c r="C34" s="11">
        <f>(BedsCurrent+BedsAdded)*ShiftHours/BedHr_E</f>
        <v>108.8</v>
      </c>
      <c r="D34" s="11">
        <f>(BedsCurrent+BedsAdded)*ShiftHours</f>
        <v>272</v>
      </c>
      <c r="E34" s="11">
        <f>ServiceTarget*B34*BedHr_E</f>
        <v>285</v>
      </c>
      <c r="F34" s="11">
        <f>MAX(0,E34-D34)</f>
        <v>13</v>
      </c>
      <c r="G34" s="11">
        <f>MAX(0,ServiceTarget*B34-C34)</f>
        <v>5.2000000000000028</v>
      </c>
    </row>
    <row r="35" spans="1:10" x14ac:dyDescent="0.25">
      <c r="A35" s="11" t="s">
        <v>81</v>
      </c>
      <c r="B35" s="11">
        <f>Arr_N*IF(IncidentOn=1,IF(IncidentShiftNum=3,1+IncidentSeverity,1),1)</f>
        <v>65</v>
      </c>
      <c r="C35" s="11">
        <f>(BedsCurrent+BedsAdded)*ShiftHours/BedHr_N</f>
        <v>100.74074074074073</v>
      </c>
      <c r="D35" s="11">
        <f>(BedsCurrent+BedsAdded)*ShiftHours</f>
        <v>272</v>
      </c>
      <c r="E35" s="11">
        <f>ServiceTarget*B35*BedHr_N</f>
        <v>166.72500000000002</v>
      </c>
      <c r="F35" s="11">
        <f>MAX(0,E35-D35)</f>
        <v>0</v>
      </c>
      <c r="G35" s="11">
        <f>MAX(0,ServiceTarget*B35-C35)</f>
        <v>0</v>
      </c>
    </row>
    <row r="36" spans="1:10" x14ac:dyDescent="0.25">
      <c r="A36" s="12" t="s">
        <v>95</v>
      </c>
      <c r="B36" s="12"/>
      <c r="C36" s="12"/>
      <c r="D36" s="12">
        <f>SUM(D33:D35)</f>
        <v>816</v>
      </c>
      <c r="E36" s="12">
        <f>SUM(E33:E35)</f>
        <v>621.30000000000007</v>
      </c>
      <c r="F36" s="12">
        <f>SUM(F33:F35)</f>
        <v>13</v>
      </c>
      <c r="G36" s="12">
        <f>SUM(G33:G35)</f>
        <v>5.2000000000000028</v>
      </c>
    </row>
    <row r="37" spans="1:10" x14ac:dyDescent="0.25">
      <c r="A37" s="13" t="s">
        <v>96</v>
      </c>
      <c r="B37" s="14">
        <f>BedsAdded*BedCostPerBed</f>
        <v>0</v>
      </c>
    </row>
    <row r="39" spans="1:10" ht="15.75" x14ac:dyDescent="0.25">
      <c r="A39" s="3" t="s">
        <v>97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ht="27.75" customHeight="1" x14ac:dyDescent="0.25">
      <c r="A40" s="10" t="s">
        <v>69</v>
      </c>
      <c r="B40" s="10" t="s">
        <v>70</v>
      </c>
      <c r="C40" s="10" t="s">
        <v>98</v>
      </c>
      <c r="D40" s="10" t="s">
        <v>99</v>
      </c>
      <c r="E40" s="10" t="s">
        <v>100</v>
      </c>
      <c r="F40" s="10" t="s">
        <v>101</v>
      </c>
      <c r="G40" s="10" t="s">
        <v>102</v>
      </c>
      <c r="H40" s="10" t="s">
        <v>103</v>
      </c>
    </row>
    <row r="41" spans="1:10" x14ac:dyDescent="0.25">
      <c r="A41" s="11" t="s">
        <v>79</v>
      </c>
      <c r="B41" s="11">
        <f>Arr_M*IF(IncidentOn=1,IF(IncidentShiftNum=1,1+IncidentSeverity,1),1)</f>
        <v>85</v>
      </c>
      <c r="C41" s="11">
        <f>ServiceTarget*B41*Acuity_M</f>
        <v>17.765000000000001</v>
      </c>
      <c r="D41" s="11">
        <f>ImgBase+ImgExpOn*ImgExpAdd</f>
        <v>52</v>
      </c>
      <c r="E41" s="11">
        <f>MAX(0,C41-D41)</f>
        <v>0</v>
      </c>
      <c r="F41" s="11">
        <f>ServiceTarget*B41</f>
        <v>80.75</v>
      </c>
      <c r="G41" s="11">
        <f>LabBase+LabExpOn*LabExpAdd</f>
        <v>95</v>
      </c>
      <c r="H41" s="11">
        <f>MAX(0,F41-G41)</f>
        <v>0</v>
      </c>
    </row>
    <row r="42" spans="1:10" x14ac:dyDescent="0.25">
      <c r="A42" s="11" t="s">
        <v>80</v>
      </c>
      <c r="B42" s="11">
        <f>Arr_E*IF(IncidentOn=1,IF(IncidentShiftNum=2,1+IncidentSeverity,1),1)</f>
        <v>120</v>
      </c>
      <c r="C42" s="11">
        <f>ServiceTarget*B42*Acuity_E</f>
        <v>31.92</v>
      </c>
      <c r="D42" s="11">
        <f>ImgBase+ImgExpOn*ImgExpAdd</f>
        <v>52</v>
      </c>
      <c r="E42" s="11">
        <f>MAX(0,C42-D42)</f>
        <v>0</v>
      </c>
      <c r="F42" s="11">
        <f>ServiceTarget*B42</f>
        <v>114</v>
      </c>
      <c r="G42" s="11">
        <f>LabBase+LabExpOn*LabExpAdd</f>
        <v>95</v>
      </c>
      <c r="H42" s="11">
        <f>MAX(0,F42-G42)</f>
        <v>19</v>
      </c>
    </row>
    <row r="43" spans="1:10" x14ac:dyDescent="0.25">
      <c r="A43" s="11" t="s">
        <v>81</v>
      </c>
      <c r="B43" s="11">
        <f>Arr_N*IF(IncidentOn=1,IF(IncidentShiftNum=3,1+IncidentSeverity,1),1)</f>
        <v>65</v>
      </c>
      <c r="C43" s="11">
        <f>ServiceTarget*B43*Acuity_N</f>
        <v>18.524999999999999</v>
      </c>
      <c r="D43" s="11">
        <f>ImgBase+ImgExpOn*ImgExpAdd</f>
        <v>52</v>
      </c>
      <c r="E43" s="11">
        <f>MAX(0,C43-D43)</f>
        <v>0</v>
      </c>
      <c r="F43" s="11">
        <f>ServiceTarget*B43</f>
        <v>61.75</v>
      </c>
      <c r="G43" s="11">
        <f>LabBase+LabExpOn*LabExpAdd</f>
        <v>95</v>
      </c>
      <c r="H43" s="11">
        <f>MAX(0,F43-G43)</f>
        <v>0</v>
      </c>
    </row>
    <row r="44" spans="1:10" x14ac:dyDescent="0.25">
      <c r="A44" s="12" t="s">
        <v>95</v>
      </c>
      <c r="B44" s="12"/>
      <c r="C44" s="12"/>
      <c r="D44" s="12"/>
      <c r="E44" s="12">
        <f>SUM(E41:E43)</f>
        <v>0</v>
      </c>
      <c r="F44" s="12"/>
      <c r="G44" s="12"/>
      <c r="H44" s="12">
        <f>SUM(H41:H43)</f>
        <v>19</v>
      </c>
    </row>
    <row r="45" spans="1:10" x14ac:dyDescent="0.25">
      <c r="A45" s="13" t="s">
        <v>104</v>
      </c>
      <c r="B45" s="14">
        <f>ImgExpOn*ImgExpCost+LabExpOn*LabExpCost</f>
        <v>0</v>
      </c>
    </row>
    <row r="47" spans="1:10" ht="15.75" x14ac:dyDescent="0.25">
      <c r="A47" s="3" t="s">
        <v>105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 ht="27.75" customHeight="1" x14ac:dyDescent="0.25">
      <c r="A48" s="10" t="s">
        <v>69</v>
      </c>
      <c r="B48" s="10" t="s">
        <v>106</v>
      </c>
      <c r="C48" s="10" t="s">
        <v>107</v>
      </c>
      <c r="D48" s="10" t="s">
        <v>108</v>
      </c>
      <c r="E48" s="10" t="s">
        <v>109</v>
      </c>
      <c r="F48" s="10" t="s">
        <v>110</v>
      </c>
      <c r="G48" s="10" t="s">
        <v>111</v>
      </c>
      <c r="H48" s="10" t="s">
        <v>112</v>
      </c>
      <c r="I48" s="10" t="s">
        <v>113</v>
      </c>
      <c r="J48" s="10" t="s">
        <v>114</v>
      </c>
    </row>
    <row r="49" spans="1:10" x14ac:dyDescent="0.25">
      <c r="A49" s="11" t="s">
        <v>79</v>
      </c>
      <c r="B49" s="11">
        <f>Model!I24</f>
        <v>0</v>
      </c>
      <c r="C49" s="11">
        <f>Model!I6</f>
        <v>0</v>
      </c>
      <c r="D49" s="11">
        <f>Model!I15</f>
        <v>0</v>
      </c>
      <c r="E49" s="11">
        <f>Model!G33</f>
        <v>0</v>
      </c>
      <c r="F49" s="11">
        <f>Model!E41</f>
        <v>0</v>
      </c>
      <c r="G49" s="11">
        <f>Model!H41</f>
        <v>0</v>
      </c>
      <c r="H49" s="11">
        <f>MAX(B49:G49)</f>
        <v>0</v>
      </c>
      <c r="I49" s="11">
        <f>H49*DivertShare</f>
        <v>0</v>
      </c>
      <c r="J49" s="11">
        <f>H49-I49</f>
        <v>0</v>
      </c>
    </row>
    <row r="50" spans="1:10" x14ac:dyDescent="0.25">
      <c r="A50" s="11" t="s">
        <v>80</v>
      </c>
      <c r="B50" s="11">
        <f>Model!I25</f>
        <v>0</v>
      </c>
      <c r="C50" s="11">
        <f>Model!I7</f>
        <v>0</v>
      </c>
      <c r="D50" s="11">
        <f>Model!I16</f>
        <v>0</v>
      </c>
      <c r="E50" s="11">
        <f>Model!G34</f>
        <v>5.2000000000000028</v>
      </c>
      <c r="F50" s="11">
        <f>Model!E42</f>
        <v>0</v>
      </c>
      <c r="G50" s="11">
        <f>Model!H42</f>
        <v>19</v>
      </c>
      <c r="H50" s="11">
        <f>MAX(B50:G50)</f>
        <v>19</v>
      </c>
      <c r="I50" s="11">
        <f>H50*DivertShare</f>
        <v>5.7</v>
      </c>
      <c r="J50" s="11">
        <f>H50-I50</f>
        <v>13.3</v>
      </c>
    </row>
    <row r="51" spans="1:10" x14ac:dyDescent="0.25">
      <c r="A51" s="11" t="s">
        <v>81</v>
      </c>
      <c r="B51" s="11">
        <f>Model!I26</f>
        <v>0</v>
      </c>
      <c r="C51" s="11">
        <f>Model!I8</f>
        <v>0</v>
      </c>
      <c r="D51" s="11">
        <f>Model!I17</f>
        <v>0</v>
      </c>
      <c r="E51" s="11">
        <f>Model!G35</f>
        <v>0</v>
      </c>
      <c r="F51" s="11">
        <f>Model!E43</f>
        <v>0</v>
      </c>
      <c r="G51" s="11">
        <f>Model!H43</f>
        <v>0</v>
      </c>
      <c r="H51" s="11">
        <f>MAX(B51:G51)</f>
        <v>0</v>
      </c>
      <c r="I51" s="11">
        <f>H51*DivertShare</f>
        <v>0</v>
      </c>
      <c r="J51" s="11">
        <f>H51-I51</f>
        <v>0</v>
      </c>
    </row>
    <row r="52" spans="1:10" x14ac:dyDescent="0.25">
      <c r="A52" s="12" t="s">
        <v>115</v>
      </c>
      <c r="B52" s="12"/>
      <c r="C52" s="12"/>
      <c r="D52" s="12"/>
      <c r="E52" s="12"/>
      <c r="F52" s="12"/>
      <c r="G52" s="12"/>
      <c r="H52" s="12">
        <f>SUM(H49:H51)</f>
        <v>19</v>
      </c>
      <c r="I52" s="12">
        <f>SUM(I49:I51)</f>
        <v>5.7</v>
      </c>
      <c r="J52" s="12">
        <f>SUM(J49:J51)</f>
        <v>13.3</v>
      </c>
    </row>
    <row r="54" spans="1:10" x14ac:dyDescent="0.25">
      <c r="A54" s="15" t="s">
        <v>116</v>
      </c>
      <c r="B54" t="str">
        <f>INDEX(A49:A51,MATCH(MAX(H49:H51),H49:H51,0))</f>
        <v>Evening</v>
      </c>
    </row>
    <row r="55" spans="1:10" ht="30" x14ac:dyDescent="0.25">
      <c r="A55" s="15" t="s">
        <v>117</v>
      </c>
      <c r="B55" s="16" t="str">
        <f>INDEX($B$48:$G$48,1,MATCH(MAX(B56:G56),B56:G56,0))</f>
        <v>Lab
Shortfall</v>
      </c>
    </row>
    <row r="56" spans="1:10" x14ac:dyDescent="0.25">
      <c r="A56" s="2" t="s">
        <v>118</v>
      </c>
      <c r="B56" s="16">
        <f t="shared" ref="B56:G56" si="0">MAX(B49:B51)</f>
        <v>0</v>
      </c>
      <c r="C56" s="16">
        <f t="shared" si="0"/>
        <v>0</v>
      </c>
      <c r="D56" s="16">
        <f t="shared" si="0"/>
        <v>0</v>
      </c>
      <c r="E56" s="16">
        <f t="shared" si="0"/>
        <v>5.2000000000000028</v>
      </c>
      <c r="F56" s="16">
        <f t="shared" si="0"/>
        <v>0</v>
      </c>
      <c r="G56" s="16">
        <f t="shared" si="0"/>
        <v>19</v>
      </c>
    </row>
    <row r="58" spans="1:10" ht="15.75" x14ac:dyDescent="0.25">
      <c r="A58" s="3" t="s">
        <v>119</v>
      </c>
      <c r="B58" s="4"/>
      <c r="C58" s="4"/>
      <c r="D58" s="4"/>
    </row>
    <row r="59" spans="1:10" x14ac:dyDescent="0.25">
      <c r="A59" s="11" t="s">
        <v>120</v>
      </c>
      <c r="B59" s="17">
        <f>B29</f>
        <v>157500</v>
      </c>
    </row>
    <row r="60" spans="1:10" x14ac:dyDescent="0.25">
      <c r="A60" s="11" t="s">
        <v>121</v>
      </c>
      <c r="B60" s="17">
        <f>B11</f>
        <v>103500</v>
      </c>
    </row>
    <row r="61" spans="1:10" x14ac:dyDescent="0.25">
      <c r="A61" s="11" t="s">
        <v>122</v>
      </c>
      <c r="B61" s="17">
        <f>B20</f>
        <v>35000</v>
      </c>
    </row>
    <row r="62" spans="1:10" x14ac:dyDescent="0.25">
      <c r="A62" s="11" t="s">
        <v>96</v>
      </c>
      <c r="B62" s="17">
        <f>B37</f>
        <v>0</v>
      </c>
    </row>
    <row r="63" spans="1:10" x14ac:dyDescent="0.25">
      <c r="A63" s="11" t="s">
        <v>104</v>
      </c>
      <c r="B63" s="17">
        <f>B45</f>
        <v>0</v>
      </c>
    </row>
    <row r="64" spans="1:10" x14ac:dyDescent="0.25">
      <c r="A64" s="11" t="s">
        <v>123</v>
      </c>
      <c r="B64" s="17">
        <f>J52*PenUncovered</f>
        <v>79800</v>
      </c>
    </row>
    <row r="65" spans="1:4" x14ac:dyDescent="0.25">
      <c r="A65" s="11" t="s">
        <v>124</v>
      </c>
      <c r="B65" s="17">
        <f>I52*PenDiverted</f>
        <v>54150</v>
      </c>
    </row>
    <row r="66" spans="1:4" x14ac:dyDescent="0.25">
      <c r="A66" s="11" t="s">
        <v>125</v>
      </c>
      <c r="B66" s="17">
        <f>F36*PenBedHr</f>
        <v>15600</v>
      </c>
    </row>
    <row r="67" spans="1:4" x14ac:dyDescent="0.25">
      <c r="A67" s="18" t="s">
        <v>126</v>
      </c>
      <c r="B67" s="19">
        <f>SUM(B59:B66)</f>
        <v>445550</v>
      </c>
    </row>
    <row r="69" spans="1:4" ht="15.75" x14ac:dyDescent="0.25">
      <c r="A69" s="3" t="s">
        <v>127</v>
      </c>
      <c r="B69" s="4"/>
      <c r="C69" s="4"/>
      <c r="D69" s="4"/>
    </row>
    <row r="70" spans="1:4" x14ac:dyDescent="0.25">
      <c r="A70" s="20" t="s">
        <v>128</v>
      </c>
      <c r="B70" s="19">
        <f>B67</f>
        <v>445550</v>
      </c>
    </row>
    <row r="71" spans="1:4" x14ac:dyDescent="0.25">
      <c r="A71" s="20" t="s">
        <v>129</v>
      </c>
      <c r="B71" s="21">
        <f>1-H52/SUM(B6:B8)</f>
        <v>0.92962962962962958</v>
      </c>
    </row>
    <row r="72" spans="1:4" x14ac:dyDescent="0.25">
      <c r="A72" s="20" t="s">
        <v>130</v>
      </c>
      <c r="B72" s="21">
        <f>(SUM(H24:H26)*OTCost_Doc+SUM(H6:H8)*OTCost_Nurse+SUM(H15:H17)*OTCost_Tech)/(B29+B11+B20)</f>
        <v>4.5608108108108107E-2</v>
      </c>
    </row>
    <row r="73" spans="1:4" x14ac:dyDescent="0.25">
      <c r="A73" s="20" t="s">
        <v>131</v>
      </c>
      <c r="B73" s="21">
        <f>E36/D36</f>
        <v>0.76139705882352948</v>
      </c>
    </row>
    <row r="74" spans="1:4" x14ac:dyDescent="0.25">
      <c r="A74" s="20" t="s">
        <v>132</v>
      </c>
      <c r="B74" s="22">
        <f>I52</f>
        <v>5.7</v>
      </c>
    </row>
    <row r="75" spans="1:4" x14ac:dyDescent="0.25">
      <c r="A75" s="20" t="s">
        <v>133</v>
      </c>
      <c r="B75" s="22">
        <f>J52</f>
        <v>13.3</v>
      </c>
    </row>
    <row r="76" spans="1:4" x14ac:dyDescent="0.25">
      <c r="A76" s="20" t="s">
        <v>134</v>
      </c>
      <c r="B76" s="20" t="str">
        <f>B54</f>
        <v>Evening</v>
      </c>
    </row>
    <row r="77" spans="1:4" ht="30" x14ac:dyDescent="0.25">
      <c r="A77" s="20" t="s">
        <v>135</v>
      </c>
      <c r="B77" s="23" t="str">
        <f>B55</f>
        <v>Lab
Shortfall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zoomScaleNormal="100" workbookViewId="0">
      <selection activeCell="B1" sqref="B1"/>
    </sheetView>
  </sheetViews>
  <sheetFormatPr defaultColWidth="8.7109375" defaultRowHeight="15" x14ac:dyDescent="0.25"/>
  <cols>
    <col min="1" max="1" width="34" customWidth="1"/>
    <col min="2" max="2" width="22" customWidth="1"/>
    <col min="3" max="3" width="24" customWidth="1"/>
    <col min="4" max="4" width="22" customWidth="1"/>
  </cols>
  <sheetData>
    <row r="1" spans="1:4" ht="18" x14ac:dyDescent="0.25">
      <c r="A1" s="1" t="s">
        <v>197</v>
      </c>
    </row>
    <row r="2" spans="1:4" x14ac:dyDescent="0.25">
      <c r="A2" s="2"/>
    </row>
    <row r="4" spans="1:4" ht="30" customHeight="1" x14ac:dyDescent="0.25">
      <c r="A4" s="24" t="s">
        <v>136</v>
      </c>
      <c r="B4" s="25" t="s">
        <v>196</v>
      </c>
      <c r="C4" s="25" t="s">
        <v>137</v>
      </c>
      <c r="D4" s="25" t="s">
        <v>138</v>
      </c>
    </row>
    <row r="5" spans="1:4" x14ac:dyDescent="0.25">
      <c r="A5" s="11" t="s">
        <v>139</v>
      </c>
      <c r="B5" s="9">
        <v>0.85</v>
      </c>
      <c r="C5" s="9">
        <v>0.95</v>
      </c>
      <c r="D5" s="9">
        <v>0.99</v>
      </c>
    </row>
    <row r="6" spans="1:4" x14ac:dyDescent="0.25">
      <c r="A6" s="11" t="s">
        <v>140</v>
      </c>
      <c r="B6" s="26">
        <v>0</v>
      </c>
      <c r="C6" s="26">
        <v>3</v>
      </c>
      <c r="D6" s="26">
        <v>6</v>
      </c>
    </row>
    <row r="7" spans="1:4" x14ac:dyDescent="0.25">
      <c r="A7" s="11" t="s">
        <v>141</v>
      </c>
      <c r="B7" s="26">
        <v>0</v>
      </c>
      <c r="C7" s="26">
        <v>0</v>
      </c>
      <c r="D7" s="26">
        <v>1</v>
      </c>
    </row>
    <row r="8" spans="1:4" x14ac:dyDescent="0.25">
      <c r="A8" s="11" t="s">
        <v>142</v>
      </c>
      <c r="B8" s="26">
        <v>0</v>
      </c>
      <c r="C8" s="26">
        <v>1</v>
      </c>
      <c r="D8" s="26">
        <v>1</v>
      </c>
    </row>
    <row r="10" spans="1:4" ht="15.75" x14ac:dyDescent="0.25">
      <c r="A10" s="3" t="s">
        <v>143</v>
      </c>
      <c r="B10" s="4"/>
      <c r="C10" s="4"/>
      <c r="D10" s="4"/>
    </row>
    <row r="11" spans="1:4" x14ac:dyDescent="0.25">
      <c r="A11" s="11" t="s">
        <v>144</v>
      </c>
      <c r="B11" s="17">
        <f>(MIN((CEILING((B5)*(Arr_M*(1+0.5*Acuity_M))/Cap_Doc,1)+CEILING((B5)*(Arr_E*(1+0.5*Acuity_E))/Cap_Doc,1)+CEILING((B5)*(Arr_N*(1+0.5*Acuity_N))/Cap_Doc,1)),Avail_Doc))*RegCost_Doc+(MIN(MAX((CEILING((B5)*(Arr_M*(1+0.5*Acuity_M))/Cap_Doc,1)+CEILING((B5)*(Arr_E*(1+0.5*Acuity_E))/Cap_Doc,1)+CEILING((B5)*(Arr_N*(1+0.5*Acuity_N))/Cap_Doc,1))-Avail_Doc,0),OTCapPct*MIN((CEILING((B5)*(Arr_M*(1+0.5*Acuity_M))/Cap_Doc,1)+CEILING((B5)*(Arr_E*(1+0.5*Acuity_E))/Cap_Doc,1)+CEILING((B5)*(Arr_N*(1+0.5*Acuity_N))/Cap_Doc,1)),Avail_Doc)))*OTCost_Doc+(MIN((CEILING((B5)*(Arr_M)/Cap_Nurse,1)+CEILING((B5)*(Arr_E)/Cap_Nurse,1)+CEILING((B5)*(Arr_N)/Cap_Nurse,1)),Avail_Nurse))*RegCost_Nurse+(MIN(MAX((CEILING((B5)*(Arr_M)/Cap_Nurse,1)+CEILING((B5)*(Arr_E)/Cap_Nurse,1)+CEILING((B5)*(Arr_N)/Cap_Nurse,1))-Avail_Nurse,0),OTCapPct*MIN((CEILING((B5)*(Arr_M)/Cap_Nurse,1)+CEILING((B5)*(Arr_E)/Cap_Nurse,1)+CEILING((B5)*(Arr_N)/Cap_Nurse,1)),Avail_Nurse)))*OTCost_Nurse+(MIN((CEILING((B5)*(Arr_M)/Cap_Tech,1)+CEILING((B5)*(Arr_E)/Cap_Tech,1)+CEILING((B5)*(Arr_N)/Cap_Tech,1)),Avail_Tech))*RegCost_Tech+(MIN(MAX((CEILING((B5)*(Arr_M)/Cap_Tech,1)+CEILING((B5)*(Arr_E)/Cap_Tech,1)+CEILING((B5)*(Arr_N)/Cap_Tech,1))-Avail_Tech,0),OTCapPct*MIN((CEILING((B5)*(Arr_M)/Cap_Tech,1)+CEILING((B5)*(Arr_E)/Cap_Tech,1)+CEILING((B5)*(Arr_N)/Cap_Tech,1)),Avail_Tech)))*OTCost_Tech</f>
        <v>270000</v>
      </c>
      <c r="C11" s="17">
        <f>(MIN((CEILING((C5)*(Arr_M*(1+0.5*Acuity_M))/Cap_Doc,1)+CEILING((C5)*(Arr_E*(1+0.5*Acuity_E))/Cap_Doc,1)+CEILING((C5)*(Arr_N*(1+0.5*Acuity_N))/Cap_Doc,1)),Avail_Doc))*RegCost_Doc+(MIN(MAX((CEILING((C5)*(Arr_M*(1+0.5*Acuity_M))/Cap_Doc,1)+CEILING((C5)*(Arr_E*(1+0.5*Acuity_E))/Cap_Doc,1)+CEILING((C5)*(Arr_N*(1+0.5*Acuity_N))/Cap_Doc,1))-Avail_Doc,0),OTCapPct*MIN((CEILING((C5)*(Arr_M*(1+0.5*Acuity_M))/Cap_Doc,1)+CEILING((C5)*(Arr_E*(1+0.5*Acuity_E))/Cap_Doc,1)+CEILING((C5)*(Arr_N*(1+0.5*Acuity_N))/Cap_Doc,1)),Avail_Doc)))*OTCost_Doc+(MIN((CEILING((C5)*(Arr_M)/Cap_Nurse,1)+CEILING((C5)*(Arr_E)/Cap_Nurse,1)+CEILING((C5)*(Arr_N)/Cap_Nurse,1)),Avail_Nurse))*RegCost_Nurse+(MIN(MAX((CEILING((C5)*(Arr_M)/Cap_Nurse,1)+CEILING((C5)*(Arr_E)/Cap_Nurse,1)+CEILING((C5)*(Arr_N)/Cap_Nurse,1))-Avail_Nurse,0),OTCapPct*MIN((CEILING((C5)*(Arr_M)/Cap_Nurse,1)+CEILING((C5)*(Arr_E)/Cap_Nurse,1)+CEILING((C5)*(Arr_N)/Cap_Nurse,1)),Avail_Nurse)))*OTCost_Nurse+(MIN((CEILING((C5)*(Arr_M)/Cap_Tech,1)+CEILING((C5)*(Arr_E)/Cap_Tech,1)+CEILING((C5)*(Arr_N)/Cap_Tech,1)),Avail_Tech))*RegCost_Tech+(MIN(MAX((CEILING((C5)*(Arr_M)/Cap_Tech,1)+CEILING((C5)*(Arr_E)/Cap_Tech,1)+CEILING((C5)*(Arr_N)/Cap_Tech,1))-Avail_Tech,0),OTCapPct*MIN((CEILING((C5)*(Arr_M)/Cap_Tech,1)+CEILING((C5)*(Arr_E)/Cap_Tech,1)+CEILING((C5)*(Arr_N)/Cap_Tech,1)),Avail_Tech)))*OTCost_Tech</f>
        <v>296000</v>
      </c>
      <c r="D11" s="17">
        <f>(MIN((CEILING((D5)*(Arr_M*(1+0.5*Acuity_M))/Cap_Doc,1)+CEILING((D5)*(Arr_E*(1+0.5*Acuity_E))/Cap_Doc,1)+CEILING((D5)*(Arr_N*(1+0.5*Acuity_N))/Cap_Doc,1)),Avail_Doc))*RegCost_Doc+(MIN(MAX((CEILING((D5)*(Arr_M*(1+0.5*Acuity_M))/Cap_Doc,1)+CEILING((D5)*(Arr_E*(1+0.5*Acuity_E))/Cap_Doc,1)+CEILING((D5)*(Arr_N*(1+0.5*Acuity_N))/Cap_Doc,1))-Avail_Doc,0),OTCapPct*MIN((CEILING((D5)*(Arr_M*(1+0.5*Acuity_M))/Cap_Doc,1)+CEILING((D5)*(Arr_E*(1+0.5*Acuity_E))/Cap_Doc,1)+CEILING((D5)*(Arr_N*(1+0.5*Acuity_N))/Cap_Doc,1)),Avail_Doc)))*OTCost_Doc+(MIN((CEILING((D5)*(Arr_M)/Cap_Nurse,1)+CEILING((D5)*(Arr_E)/Cap_Nurse,1)+CEILING((D5)*(Arr_N)/Cap_Nurse,1)),Avail_Nurse))*RegCost_Nurse+(MIN(MAX((CEILING((D5)*(Arr_M)/Cap_Nurse,1)+CEILING((D5)*(Arr_E)/Cap_Nurse,1)+CEILING((D5)*(Arr_N)/Cap_Nurse,1))-Avail_Nurse,0),OTCapPct*MIN((CEILING((D5)*(Arr_M)/Cap_Nurse,1)+CEILING((D5)*(Arr_E)/Cap_Nurse,1)+CEILING((D5)*(Arr_N)/Cap_Nurse,1)),Avail_Nurse)))*OTCost_Nurse+(MIN((CEILING((D5)*(Arr_M)/Cap_Tech,1)+CEILING((D5)*(Arr_E)/Cap_Tech,1)+CEILING((D5)*(Arr_N)/Cap_Tech,1)),Avail_Tech))*RegCost_Tech+(MIN(MAX((CEILING((D5)*(Arr_M)/Cap_Tech,1)+CEILING((D5)*(Arr_E)/Cap_Tech,1)+CEILING((D5)*(Arr_N)/Cap_Tech,1))-Avail_Tech,0),OTCapPct*MIN((CEILING((D5)*(Arr_M)/Cap_Tech,1)+CEILING((D5)*(Arr_E)/Cap_Tech,1)+CEILING((D5)*(Arr_N)/Cap_Tech,1)),Avail_Tech)))*OTCost_Tech</f>
        <v>327500</v>
      </c>
    </row>
    <row r="12" spans="1:4" x14ac:dyDescent="0.25">
      <c r="A12" s="11" t="s">
        <v>145</v>
      </c>
      <c r="B12" s="17">
        <f>B6*BedCostPerBed+B7*ImgExpCost+B8*LabExpCost</f>
        <v>0</v>
      </c>
      <c r="C12" s="17">
        <f>C6*BedCostPerBed+C7*ImgExpCost+C8*LabExpCost</f>
        <v>16500</v>
      </c>
      <c r="D12" s="17">
        <f>D6*BedCostPerBed+D7*ImgExpCost+D8*LabExpCost</f>
        <v>39000</v>
      </c>
    </row>
    <row r="13" spans="1:4" x14ac:dyDescent="0.25">
      <c r="A13" s="11" t="s">
        <v>146</v>
      </c>
      <c r="B13" s="27">
        <f>(MAX(0,((CEILING((B5)*(Arr_M*(1+0.5*Acuity_M))/Cap_Doc,1)+CEILING((B5)*(Arr_E*(1+0.5*Acuity_E))/Cap_Doc,1)+CEILING((B5)*(Arr_N*(1+0.5*Acuity_N))/Cap_Doc,1)))-Avail_Doc-OTCapPct*MIN((CEILING((B5)*(Arr_M*(1+0.5*Acuity_M))/Cap_Doc,1)+CEILING((B5)*(Arr_E*(1+0.5*Acuity_E))/Cap_Doc,1)+CEILING((B5)*(Arr_N*(1+0.5*Acuity_N))/Cap_Doc,1)),Avail_Doc)))*Cap_Doc+(MAX(0,((CEILING((B5)*(Arr_M)/Cap_Nurse,1)+CEILING((B5)*(Arr_E)/Cap_Nurse,1)+CEILING((B5)*(Arr_N)/Cap_Nurse,1)))-Avail_Nurse-OTCapPct*MIN((CEILING((B5)*(Arr_M)/Cap_Nurse,1)+CEILING((B5)*(Arr_E)/Cap_Nurse,1)+CEILING((B5)*(Arr_N)/Cap_Nurse,1)),Avail_Nurse)))*Cap_Nurse+(MAX(0,((CEILING((B5)*(Arr_M)/Cap_Tech,1)+CEILING((B5)*(Arr_E)/Cap_Tech,1)+CEILING((B5)*(Arr_N)/Cap_Tech,1)))-Avail_Tech-OTCapPct*MIN((CEILING((B5)*(Arr_M)/Cap_Tech,1)+CEILING((B5)*(Arr_E)/Cap_Tech,1)+CEILING((B5)*(Arr_N)/Cap_Tech,1)),Avail_Tech)))*Cap_Tech+(MAX(0,(B5)*Arr_M-(B6+BedsCurrent)*ShiftHours/BedHr_M)+MAX(0,(B5)*Arr_E-(B6+BedsCurrent)*ShiftHours/BedHr_E)+MAX(0,(B5)*Arr_N-(B6+BedsCurrent)*ShiftHours/BedHr_N))+(MAX(0,(B5)*Arr_M*Acuity_M-(ImgBase+B7*ImgExpAdd))+MAX(0,(B5)*Arr_E*Acuity_E-(ImgBase+B7*ImgExpAdd))+MAX(0,(B5)*Arr_N*Acuity_N-(ImgBase+B7*ImgExpAdd)))+(MAX(0,(B5)*Arr_M-(LabBase+B8*LabExpAdd))+MAX(0,(B5)*Arr_E-(LabBase+B8*LabExpAdd))+MAX(0,(B5)*Arr_N-(LabBase+B8*LabExpAdd)))</f>
        <v>7</v>
      </c>
      <c r="C13" s="27">
        <f>(MAX(0,((CEILING((C5)*(Arr_M*(1+0.5*Acuity_M))/Cap_Doc,1)+CEILING((C5)*(Arr_E*(1+0.5*Acuity_E))/Cap_Doc,1)+CEILING((C5)*(Arr_N*(1+0.5*Acuity_N))/Cap_Doc,1)))-Avail_Doc-OTCapPct*MIN((CEILING((C5)*(Arr_M*(1+0.5*Acuity_M))/Cap_Doc,1)+CEILING((C5)*(Arr_E*(1+0.5*Acuity_E))/Cap_Doc,1)+CEILING((C5)*(Arr_N*(1+0.5*Acuity_N))/Cap_Doc,1)),Avail_Doc)))*Cap_Doc+(MAX(0,((CEILING((C5)*(Arr_M)/Cap_Nurse,1)+CEILING((C5)*(Arr_E)/Cap_Nurse,1)+CEILING((C5)*(Arr_N)/Cap_Nurse,1)))-Avail_Nurse-OTCapPct*MIN((CEILING((C5)*(Arr_M)/Cap_Nurse,1)+CEILING((C5)*(Arr_E)/Cap_Nurse,1)+CEILING((C5)*(Arr_N)/Cap_Nurse,1)),Avail_Nurse)))*Cap_Nurse+(MAX(0,((CEILING((C5)*(Arr_M)/Cap_Tech,1)+CEILING((C5)*(Arr_E)/Cap_Tech,1)+CEILING((C5)*(Arr_N)/Cap_Tech,1)))-Avail_Tech-OTCapPct*MIN((CEILING((C5)*(Arr_M)/Cap_Tech,1)+CEILING((C5)*(Arr_E)/Cap_Tech,1)+CEILING((C5)*(Arr_N)/Cap_Tech,1)),Avail_Tech)))*Cap_Tech+(MAX(0,(C5)*Arr_M-(C6+BedsCurrent)*ShiftHours/BedHr_M)+MAX(0,(C5)*Arr_E-(C6+BedsCurrent)*ShiftHours/BedHr_E)+MAX(0,(C5)*Arr_N-(C6+BedsCurrent)*ShiftHours/BedHr_N))+(MAX(0,(C5)*Arr_M*Acuity_M-(ImgBase+C7*ImgExpAdd))+MAX(0,(C5)*Arr_E*Acuity_E-(ImgBase+C7*ImgExpAdd))+MAX(0,(C5)*Arr_N*Acuity_N-(ImgBase+C7*ImgExpAdd)))+(MAX(0,(C5)*Arr_M-(LabBase+C8*LabExpAdd))+MAX(0,(C5)*Arr_E-(LabBase+C8*LabExpAdd))+MAX(0,(C5)*Arr_N-(LabBase+C8*LabExpAdd)))</f>
        <v>0</v>
      </c>
      <c r="D13" s="27">
        <f>(MAX(0,((CEILING((D5)*(Arr_M*(1+0.5*Acuity_M))/Cap_Doc,1)+CEILING((D5)*(Arr_E*(1+0.5*Acuity_E))/Cap_Doc,1)+CEILING((D5)*(Arr_N*(1+0.5*Acuity_N))/Cap_Doc,1)))-Avail_Doc-OTCapPct*MIN((CEILING((D5)*(Arr_M*(1+0.5*Acuity_M))/Cap_Doc,1)+CEILING((D5)*(Arr_E*(1+0.5*Acuity_E))/Cap_Doc,1)+CEILING((D5)*(Arr_N*(1+0.5*Acuity_N))/Cap_Doc,1)),Avail_Doc)))*Cap_Doc+(MAX(0,((CEILING((D5)*(Arr_M)/Cap_Nurse,1)+CEILING((D5)*(Arr_E)/Cap_Nurse,1)+CEILING((D5)*(Arr_N)/Cap_Nurse,1)))-Avail_Nurse-OTCapPct*MIN((CEILING((D5)*(Arr_M)/Cap_Nurse,1)+CEILING((D5)*(Arr_E)/Cap_Nurse,1)+CEILING((D5)*(Arr_N)/Cap_Nurse,1)),Avail_Nurse)))*Cap_Nurse+(MAX(0,((CEILING((D5)*(Arr_M)/Cap_Tech,1)+CEILING((D5)*(Arr_E)/Cap_Tech,1)+CEILING((D5)*(Arr_N)/Cap_Tech,1)))-Avail_Tech-OTCapPct*MIN((CEILING((D5)*(Arr_M)/Cap_Tech,1)+CEILING((D5)*(Arr_E)/Cap_Tech,1)+CEILING((D5)*(Arr_N)/Cap_Tech,1)),Avail_Tech)))*Cap_Tech+(MAX(0,(D5)*Arr_M-(D6+BedsCurrent)*ShiftHours/BedHr_M)+MAX(0,(D5)*Arr_E-(D6+BedsCurrent)*ShiftHours/BedHr_E)+MAX(0,(D5)*Arr_N-(D6+BedsCurrent)*ShiftHours/BedHr_N))+(MAX(0,(D5)*Arr_M*Acuity_M-(ImgBase+D7*ImgExpAdd))+MAX(0,(D5)*Arr_E*Acuity_E-(ImgBase+D7*ImgExpAdd))+MAX(0,(D5)*Arr_N*Acuity_N-(ImgBase+D7*ImgExpAdd)))+(MAX(0,(D5)*Arr_M-(LabBase+D8*LabExpAdd))+MAX(0,(D5)*Arr_E-(LabBase+D8*LabExpAdd))+MAX(0,(D5)*Arr_N-(LabBase+D8*LabExpAdd)))</f>
        <v>3.7999999999999972</v>
      </c>
    </row>
    <row r="14" spans="1:4" x14ac:dyDescent="0.25">
      <c r="A14" s="11" t="s">
        <v>147</v>
      </c>
      <c r="B14" s="17">
        <f>B13*(PenUncovered*(1-DivertShare)+PenDiverted*DivertShare)</f>
        <v>49350</v>
      </c>
      <c r="C14" s="17">
        <f>C13*(PenUncovered*(1-DivertShare)+PenDiverted*DivertShare)</f>
        <v>0</v>
      </c>
      <c r="D14" s="17">
        <f>D13*(PenUncovered*(1-DivertShare)+PenDiverted*DivertShare)</f>
        <v>26789.999999999978</v>
      </c>
    </row>
    <row r="15" spans="1:4" x14ac:dyDescent="0.25">
      <c r="A15" s="18" t="s">
        <v>148</v>
      </c>
      <c r="B15" s="28">
        <f>B11+B12+B14</f>
        <v>319350</v>
      </c>
      <c r="C15" s="28">
        <f>C11+C12+C14</f>
        <v>312500</v>
      </c>
      <c r="D15" s="28">
        <f>D11+D12+D14</f>
        <v>393290</v>
      </c>
    </row>
    <row r="16" spans="1:4" x14ac:dyDescent="0.25">
      <c r="A16" s="20" t="s">
        <v>149</v>
      </c>
      <c r="B16" s="21">
        <f>1-B13/(Arr_M+Arr_E+Arr_N)</f>
        <v>0.97407407407407409</v>
      </c>
      <c r="C16" s="21">
        <f>1-C13/(Arr_M+Arr_E+Arr_N)</f>
        <v>1</v>
      </c>
      <c r="D16" s="21">
        <f>1-D13/(Arr_M+Arr_E+Arr_N)</f>
        <v>0.98592592592592598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showGridLines="0" zoomScaleNormal="100" workbookViewId="0">
      <selection activeCell="A23" sqref="A23"/>
    </sheetView>
  </sheetViews>
  <sheetFormatPr defaultColWidth="8.7109375" defaultRowHeight="15" x14ac:dyDescent="0.25"/>
  <cols>
    <col min="1" max="1" width="26" customWidth="1"/>
    <col min="2" max="5" width="16" customWidth="1"/>
    <col min="6" max="6" width="20" customWidth="1"/>
  </cols>
  <sheetData>
    <row r="1" spans="1:5" ht="18" x14ac:dyDescent="0.25">
      <c r="A1" s="1" t="s">
        <v>150</v>
      </c>
    </row>
    <row r="2" spans="1:5" x14ac:dyDescent="0.25">
      <c r="A2" s="2"/>
    </row>
    <row r="4" spans="1:5" ht="15.75" x14ac:dyDescent="0.25">
      <c r="A4" s="3" t="s">
        <v>151</v>
      </c>
      <c r="B4" s="4"/>
      <c r="C4" s="4"/>
      <c r="D4" s="4"/>
      <c r="E4" s="4"/>
    </row>
    <row r="5" spans="1:5" ht="30" x14ac:dyDescent="0.25">
      <c r="A5" s="25" t="s">
        <v>152</v>
      </c>
      <c r="B5" s="25" t="s">
        <v>153</v>
      </c>
      <c r="C5" s="25" t="s">
        <v>154</v>
      </c>
      <c r="D5" s="25" t="s">
        <v>155</v>
      </c>
      <c r="E5" s="25" t="s">
        <v>156</v>
      </c>
    </row>
    <row r="6" spans="1:5" x14ac:dyDescent="0.25">
      <c r="A6" s="29">
        <v>0.8</v>
      </c>
      <c r="B6" s="17">
        <f>((MIN((CEILING((0.8)*(Arr_M*(1+0.5*Acuity_M))/Cap_Doc,1)+CEILING((0.8)*(Arr_E*(1+0.5*Acuity_E))/Cap_Doc,1)+CEILING((0.8)*(Arr_N*(1+0.5*Acuity_N))/Cap_Doc,1)),Avail_Doc))*RegCost_Doc+(MIN(MAX((CEILING((0.8)*(Arr_M*(1+0.5*Acuity_M))/Cap_Doc,1)+CEILING((0.8)*(Arr_E*(1+0.5*Acuity_E))/Cap_Doc,1)+CEILING((0.8)*(Arr_N*(1+0.5*Acuity_N))/Cap_Doc,1))-Avail_Doc,0),(OTCapPct)*MIN((CEILING((0.8)*(Arr_M*(1+0.5*Acuity_M))/Cap_Doc,1)+CEILING((0.8)*(Arr_E*(1+0.5*Acuity_E))/Cap_Doc,1)+CEILING((0.8)*(Arr_N*(1+0.5*Acuity_N))/Cap_Doc,1)),Avail_Doc)))*OTCost_Doc+(MIN((CEILING((0.8)*(Arr_M)/Cap_Nurse,1)+CEILING((0.8)*(Arr_E)/Cap_Nurse,1)+CEILING((0.8)*(Arr_N)/Cap_Nurse,1)),Avail_Nurse))*RegCost_Nurse+(MIN(MAX((CEILING((0.8)*(Arr_M)/Cap_Nurse,1)+CEILING((0.8)*(Arr_E)/Cap_Nurse,1)+CEILING((0.8)*(Arr_N)/Cap_Nurse,1))-Avail_Nurse,0),(OTCapPct)*MIN((CEILING((0.8)*(Arr_M)/Cap_Nurse,1)+CEILING((0.8)*(Arr_E)/Cap_Nurse,1)+CEILING((0.8)*(Arr_N)/Cap_Nurse,1)),Avail_Nurse)))*OTCost_Nurse+(MIN((CEILING((0.8)*(Arr_M)/Cap_Tech,1)+CEILING((0.8)*(Arr_E)/Cap_Tech,1)+CEILING((0.8)*(Arr_N)/Cap_Tech,1)),Avail_Tech))*RegCost_Tech+(MIN(MAX((CEILING((0.8)*(Arr_M)/Cap_Tech,1)+CEILING((0.8)*(Arr_E)/Cap_Tech,1)+CEILING((0.8)*(Arr_N)/Cap_Tech,1))-Avail_Tech,0),(OTCapPct)*MIN((CEILING((0.8)*(Arr_M)/Cap_Tech,1)+CEILING((0.8)*(Arr_E)/Cap_Tech,1)+CEILING((0.8)*(Arr_N)/Cap_Tech,1)),Avail_Tech)))*OTCost_Tech)+((BedsAdded)*BedCostPerBed+(ImgExpOn)*ImgExpCost+(LabExpOn)*LabExpCost)+(((MAX(0,((CEILING((0.8)*(Arr_M*(1+0.5*Acuity_M))/Cap_Doc,1)+CEILING((0.8)*(Arr_E*(1+0.5*Acuity_E))/Cap_Doc,1)+CEILING((0.8)*(Arr_N*(1+0.5*Acuity_N))/Cap_Doc,1)))-Avail_Doc-(OTCapPct)*MIN((CEILING((0.8)*(Arr_M*(1+0.5*Acuity_M))/Cap_Doc,1)+CEILING((0.8)*(Arr_E*(1+0.5*Acuity_E))/Cap_Doc,1)+CEILING((0.8)*(Arr_N*(1+0.5*Acuity_N))/Cap_Doc,1)),Avail_Doc)))*Cap_Doc+(MAX(0,((CEILING((0.8)*(Arr_M)/Cap_Nurse,1)+CEILING((0.8)*(Arr_E)/Cap_Nurse,1)+CEILING((0.8)*(Arr_N)/Cap_Nurse,1)))-Avail_Nurse-(OTCapPct)*MIN((CEILING((0.8)*(Arr_M)/Cap_Nurse,1)+CEILING((0.8)*(Arr_E)/Cap_Nurse,1)+CEILING((0.8)*(Arr_N)/Cap_Nurse,1)),Avail_Nurse)))*Cap_Nurse+(MAX(0,((CEILING((0.8)*(Arr_M)/Cap_Tech,1)+CEILING((0.8)*(Arr_E)/Cap_Tech,1)+CEILING((0.8)*(Arr_N)/Cap_Tech,1)))-Avail_Tech-(OTCapPct)*MIN((CEILING((0.8)*(Arr_M)/Cap_Tech,1)+CEILING((0.8)*(Arr_E)/Cap_Tech,1)+CEILING((0.8)*(Arr_N)/Cap_Tech,1)),Avail_Tech)))*Cap_Tech+(MAX(0,(0.8)*Arr_M-(BedsAdded+BedsCurrent)*ShiftHours/BedHr_M)+MAX(0,(0.8)*Arr_E-(BedsAdded+BedsCurrent)*ShiftHours/BedHr_E)+MAX(0,(0.8)*Arr_N-(BedsAdded+BedsCurrent)*ShiftHours/BedHr_N))+(MAX(0,(0.8)*Arr_M*Acuity_M-(ImgBase+(ImgExpOn)*ImgExpAdd))+MAX(0,(0.8)*Arr_E*Acuity_E-(ImgBase+(ImgExpOn)*ImgExpAdd))+MAX(0,(0.8)*Arr_N*Acuity_N-(ImgBase+(ImgExpOn)*ImgExpAdd)))+(MAX(0,(0.8)*Arr_M-(LabBase+(LabExpOn)*LabExpAdd))+MAX(0,(0.8)*Arr_E-(LabBase+(LabExpOn)*LabExpAdd))+MAX(0,(0.8)*Arr_N-(LabBase+(LabExpOn)*LabExpAdd))))*(PenUncovered*(1-DivertShare)+PenDiverted*DivertShare))</f>
        <v>268050</v>
      </c>
      <c r="C6" s="30">
        <f>1-((MAX(0,((CEILING((0.8)*(Arr_M*(1+0.5*Acuity_M))/Cap_Doc,1)+CEILING((0.8)*(Arr_E*(1+0.5*Acuity_E))/Cap_Doc,1)+CEILING((0.8)*(Arr_N*(1+0.5*Acuity_N))/Cap_Doc,1)))-Avail_Doc-(OTCapPct)*MIN((CEILING((0.8)*(Arr_M*(1+0.5*Acuity_M))/Cap_Doc,1)+CEILING((0.8)*(Arr_E*(1+0.5*Acuity_E))/Cap_Doc,1)+CEILING((0.8)*(Arr_N*(1+0.5*Acuity_N))/Cap_Doc,1)),Avail_Doc)))*Cap_Doc+(MAX(0,((CEILING((0.8)*(Arr_M)/Cap_Nurse,1)+CEILING((0.8)*(Arr_E)/Cap_Nurse,1)+CEILING((0.8)*(Arr_N)/Cap_Nurse,1)))-Avail_Nurse-(OTCapPct)*MIN((CEILING((0.8)*(Arr_M)/Cap_Nurse,1)+CEILING((0.8)*(Arr_E)/Cap_Nurse,1)+CEILING((0.8)*(Arr_N)/Cap_Nurse,1)),Avail_Nurse)))*Cap_Nurse+(MAX(0,((CEILING((0.8)*(Arr_M)/Cap_Tech,1)+CEILING((0.8)*(Arr_E)/Cap_Tech,1)+CEILING((0.8)*(Arr_N)/Cap_Tech,1)))-Avail_Tech-(OTCapPct)*MIN((CEILING((0.8)*(Arr_M)/Cap_Tech,1)+CEILING((0.8)*(Arr_E)/Cap_Tech,1)+CEILING((0.8)*(Arr_N)/Cap_Tech,1)),Avail_Tech)))*Cap_Tech+(MAX(0,(0.8)*Arr_M-(BedsAdded+BedsCurrent)*ShiftHours/BedHr_M)+MAX(0,(0.8)*Arr_E-(BedsAdded+BedsCurrent)*ShiftHours/BedHr_E)+MAX(0,(0.8)*Arr_N-(BedsAdded+BedsCurrent)*ShiftHours/BedHr_N))+(MAX(0,(0.8)*Arr_M*Acuity_M-(ImgBase+(ImgExpOn)*ImgExpAdd))+MAX(0,(0.8)*Arr_E*Acuity_E-(ImgBase+(ImgExpOn)*ImgExpAdd))+MAX(0,(0.8)*Arr_N*Acuity_N-(ImgBase+(ImgExpOn)*ImgExpAdd)))+(MAX(0,(0.8)*Arr_M-(LabBase+(LabExpOn)*LabExpAdd))+MAX(0,(0.8)*Arr_E-(LabBase+(LabExpOn)*LabExpAdd))+MAX(0,(0.8)*Arr_N-(LabBase+(LabExpOn)*LabExpAdd))))/(Arr_M+Arr_E+Arr_N)</f>
        <v>0.99629629629629635</v>
      </c>
      <c r="D6" s="27">
        <f>(MAX(0,((CEILING((0.8)*(Arr_M*(1+0.5*Acuity_M))/Cap_Doc,1)+CEILING((0.8)*(Arr_E*(1+0.5*Acuity_E))/Cap_Doc,1)+CEILING((0.8)*(Arr_N*(1+0.5*Acuity_N))/Cap_Doc,1)))-Avail_Doc-(OTCapPct)*MIN((CEILING((0.8)*(Arr_M*(1+0.5*Acuity_M))/Cap_Doc,1)+CEILING((0.8)*(Arr_E*(1+0.5*Acuity_E))/Cap_Doc,1)+CEILING((0.8)*(Arr_N*(1+0.5*Acuity_N))/Cap_Doc,1)),Avail_Doc)))*Cap_Doc+(MAX(0,((CEILING((0.8)*(Arr_M)/Cap_Nurse,1)+CEILING((0.8)*(Arr_E)/Cap_Nurse,1)+CEILING((0.8)*(Arr_N)/Cap_Nurse,1)))-Avail_Nurse-(OTCapPct)*MIN((CEILING((0.8)*(Arr_M)/Cap_Nurse,1)+CEILING((0.8)*(Arr_E)/Cap_Nurse,1)+CEILING((0.8)*(Arr_N)/Cap_Nurse,1)),Avail_Nurse)))*Cap_Nurse+(MAX(0,((CEILING((0.8)*(Arr_M)/Cap_Tech,1)+CEILING((0.8)*(Arr_E)/Cap_Tech,1)+CEILING((0.8)*(Arr_N)/Cap_Tech,1)))-Avail_Tech-(OTCapPct)*MIN((CEILING((0.8)*(Arr_M)/Cap_Tech,1)+CEILING((0.8)*(Arr_E)/Cap_Tech,1)+CEILING((0.8)*(Arr_N)/Cap_Tech,1)),Avail_Tech)))*Cap_Tech+(MAX(0,(0.8)*Arr_M-(BedsAdded+BedsCurrent)*ShiftHours/BedHr_M)+MAX(0,(0.8)*Arr_E-(BedsAdded+BedsCurrent)*ShiftHours/BedHr_E)+MAX(0,(0.8)*Arr_N-(BedsAdded+BedsCurrent)*ShiftHours/BedHr_N))+(MAX(0,(0.8)*Arr_M*Acuity_M-(ImgBase+(ImgExpOn)*ImgExpAdd))+MAX(0,(0.8)*Arr_E*Acuity_E-(ImgBase+(ImgExpOn)*ImgExpAdd))+MAX(0,(0.8)*Arr_N*Acuity_N-(ImgBase+(ImgExpOn)*ImgExpAdd)))+(MAX(0,(0.8)*Arr_M-(LabBase+(LabExpOn)*LabExpAdd))+MAX(0,(0.8)*Arr_E-(LabBase+(LabExpOn)*LabExpAdd))+MAX(0,(0.8)*Arr_N-(LabBase+(LabExpOn)*LabExpAdd)))</f>
        <v>1</v>
      </c>
      <c r="E6" s="31">
        <f>B6-B11</f>
        <v>-198560</v>
      </c>
    </row>
    <row r="7" spans="1:5" x14ac:dyDescent="0.25">
      <c r="A7" s="29">
        <v>0.85</v>
      </c>
      <c r="B7" s="17">
        <f>((MIN((CEILING((0.85)*(Arr_M*(1+0.5*Acuity_M))/Cap_Doc,1)+CEILING((0.85)*(Arr_E*(1+0.5*Acuity_E))/Cap_Doc,1)+CEILING((0.85)*(Arr_N*(1+0.5*Acuity_N))/Cap_Doc,1)),Avail_Doc))*RegCost_Doc+(MIN(MAX((CEILING((0.85)*(Arr_M*(1+0.5*Acuity_M))/Cap_Doc,1)+CEILING((0.85)*(Arr_E*(1+0.5*Acuity_E))/Cap_Doc,1)+CEILING((0.85)*(Arr_N*(1+0.5*Acuity_N))/Cap_Doc,1))-Avail_Doc,0),(OTCapPct)*MIN((CEILING((0.85)*(Arr_M*(1+0.5*Acuity_M))/Cap_Doc,1)+CEILING((0.85)*(Arr_E*(1+0.5*Acuity_E))/Cap_Doc,1)+CEILING((0.85)*(Arr_N*(1+0.5*Acuity_N))/Cap_Doc,1)),Avail_Doc)))*OTCost_Doc+(MIN((CEILING((0.85)*(Arr_M)/Cap_Nurse,1)+CEILING((0.85)*(Arr_E)/Cap_Nurse,1)+CEILING((0.85)*(Arr_N)/Cap_Nurse,1)),Avail_Nurse))*RegCost_Nurse+(MIN(MAX((CEILING((0.85)*(Arr_M)/Cap_Nurse,1)+CEILING((0.85)*(Arr_E)/Cap_Nurse,1)+CEILING((0.85)*(Arr_N)/Cap_Nurse,1))-Avail_Nurse,0),(OTCapPct)*MIN((CEILING((0.85)*(Arr_M)/Cap_Nurse,1)+CEILING((0.85)*(Arr_E)/Cap_Nurse,1)+CEILING((0.85)*(Arr_N)/Cap_Nurse,1)),Avail_Nurse)))*OTCost_Nurse+(MIN((CEILING((0.85)*(Arr_M)/Cap_Tech,1)+CEILING((0.85)*(Arr_E)/Cap_Tech,1)+CEILING((0.85)*(Arr_N)/Cap_Tech,1)),Avail_Tech))*RegCost_Tech+(MIN(MAX((CEILING((0.85)*(Arr_M)/Cap_Tech,1)+CEILING((0.85)*(Arr_E)/Cap_Tech,1)+CEILING((0.85)*(Arr_N)/Cap_Tech,1))-Avail_Tech,0),(OTCapPct)*MIN((CEILING((0.85)*(Arr_M)/Cap_Tech,1)+CEILING((0.85)*(Arr_E)/Cap_Tech,1)+CEILING((0.85)*(Arr_N)/Cap_Tech,1)),Avail_Tech)))*OTCost_Tech)+((BedsAdded)*BedCostPerBed+(ImgExpOn)*ImgExpCost+(LabExpOn)*LabExpCost)+(((MAX(0,((CEILING((0.85)*(Arr_M*(1+0.5*Acuity_M))/Cap_Doc,1)+CEILING((0.85)*(Arr_E*(1+0.5*Acuity_E))/Cap_Doc,1)+CEILING((0.85)*(Arr_N*(1+0.5*Acuity_N))/Cap_Doc,1)))-Avail_Doc-(OTCapPct)*MIN((CEILING((0.85)*(Arr_M*(1+0.5*Acuity_M))/Cap_Doc,1)+CEILING((0.85)*(Arr_E*(1+0.5*Acuity_E))/Cap_Doc,1)+CEILING((0.85)*(Arr_N*(1+0.5*Acuity_N))/Cap_Doc,1)),Avail_Doc)))*Cap_Doc+(MAX(0,((CEILING((0.85)*(Arr_M)/Cap_Nurse,1)+CEILING((0.85)*(Arr_E)/Cap_Nurse,1)+CEILING((0.85)*(Arr_N)/Cap_Nurse,1)))-Avail_Nurse-(OTCapPct)*MIN((CEILING((0.85)*(Arr_M)/Cap_Nurse,1)+CEILING((0.85)*(Arr_E)/Cap_Nurse,1)+CEILING((0.85)*(Arr_N)/Cap_Nurse,1)),Avail_Nurse)))*Cap_Nurse+(MAX(0,((CEILING((0.85)*(Arr_M)/Cap_Tech,1)+CEILING((0.85)*(Arr_E)/Cap_Tech,1)+CEILING((0.85)*(Arr_N)/Cap_Tech,1)))-Avail_Tech-(OTCapPct)*MIN((CEILING((0.85)*(Arr_M)/Cap_Tech,1)+CEILING((0.85)*(Arr_E)/Cap_Tech,1)+CEILING((0.85)*(Arr_N)/Cap_Tech,1)),Avail_Tech)))*Cap_Tech+(MAX(0,(0.85)*Arr_M-(BedsAdded+BedsCurrent)*ShiftHours/BedHr_M)+MAX(0,(0.85)*Arr_E-(BedsAdded+BedsCurrent)*ShiftHours/BedHr_E)+MAX(0,(0.85)*Arr_N-(BedsAdded+BedsCurrent)*ShiftHours/BedHr_N))+(MAX(0,(0.85)*Arr_M*Acuity_M-(ImgBase+(ImgExpOn)*ImgExpAdd))+MAX(0,(0.85)*Arr_E*Acuity_E-(ImgBase+(ImgExpOn)*ImgExpAdd))+MAX(0,(0.85)*Arr_N*Acuity_N-(ImgBase+(ImgExpOn)*ImgExpAdd)))+(MAX(0,(0.85)*Arr_M-(LabBase+(LabExpOn)*LabExpAdd))+MAX(0,(0.85)*Arr_E-(LabBase+(LabExpOn)*LabExpAdd))+MAX(0,(0.85)*Arr_N-(LabBase+(LabExpOn)*LabExpAdd))))*(PenUncovered*(1-DivertShare)+PenDiverted*DivertShare))</f>
        <v>319350</v>
      </c>
      <c r="C7" s="30">
        <f>1-((MAX(0,((CEILING((0.85)*(Arr_M*(1+0.5*Acuity_M))/Cap_Doc,1)+CEILING((0.85)*(Arr_E*(1+0.5*Acuity_E))/Cap_Doc,1)+CEILING((0.85)*(Arr_N*(1+0.5*Acuity_N))/Cap_Doc,1)))-Avail_Doc-(OTCapPct)*MIN((CEILING((0.85)*(Arr_M*(1+0.5*Acuity_M))/Cap_Doc,1)+CEILING((0.85)*(Arr_E*(1+0.5*Acuity_E))/Cap_Doc,1)+CEILING((0.85)*(Arr_N*(1+0.5*Acuity_N))/Cap_Doc,1)),Avail_Doc)))*Cap_Doc+(MAX(0,((CEILING((0.85)*(Arr_M)/Cap_Nurse,1)+CEILING((0.85)*(Arr_E)/Cap_Nurse,1)+CEILING((0.85)*(Arr_N)/Cap_Nurse,1)))-Avail_Nurse-(OTCapPct)*MIN((CEILING((0.85)*(Arr_M)/Cap_Nurse,1)+CEILING((0.85)*(Arr_E)/Cap_Nurse,1)+CEILING((0.85)*(Arr_N)/Cap_Nurse,1)),Avail_Nurse)))*Cap_Nurse+(MAX(0,((CEILING((0.85)*(Arr_M)/Cap_Tech,1)+CEILING((0.85)*(Arr_E)/Cap_Tech,1)+CEILING((0.85)*(Arr_N)/Cap_Tech,1)))-Avail_Tech-(OTCapPct)*MIN((CEILING((0.85)*(Arr_M)/Cap_Tech,1)+CEILING((0.85)*(Arr_E)/Cap_Tech,1)+CEILING((0.85)*(Arr_N)/Cap_Tech,1)),Avail_Tech)))*Cap_Tech+(MAX(0,(0.85)*Arr_M-(BedsAdded+BedsCurrent)*ShiftHours/BedHr_M)+MAX(0,(0.85)*Arr_E-(BedsAdded+BedsCurrent)*ShiftHours/BedHr_E)+MAX(0,(0.85)*Arr_N-(BedsAdded+BedsCurrent)*ShiftHours/BedHr_N))+(MAX(0,(0.85)*Arr_M*Acuity_M-(ImgBase+(ImgExpOn)*ImgExpAdd))+MAX(0,(0.85)*Arr_E*Acuity_E-(ImgBase+(ImgExpOn)*ImgExpAdd))+MAX(0,(0.85)*Arr_N*Acuity_N-(ImgBase+(ImgExpOn)*ImgExpAdd)))+(MAX(0,(0.85)*Arr_M-(LabBase+(LabExpOn)*LabExpAdd))+MAX(0,(0.85)*Arr_E-(LabBase+(LabExpOn)*LabExpAdd))+MAX(0,(0.85)*Arr_N-(LabBase+(LabExpOn)*LabExpAdd))))/(Arr_M+Arr_E+Arr_N)</f>
        <v>0.97407407407407409</v>
      </c>
      <c r="D7" s="27">
        <f>(MAX(0,((CEILING((0.85)*(Arr_M*(1+0.5*Acuity_M))/Cap_Doc,1)+CEILING((0.85)*(Arr_E*(1+0.5*Acuity_E))/Cap_Doc,1)+CEILING((0.85)*(Arr_N*(1+0.5*Acuity_N))/Cap_Doc,1)))-Avail_Doc-(OTCapPct)*MIN((CEILING((0.85)*(Arr_M*(1+0.5*Acuity_M))/Cap_Doc,1)+CEILING((0.85)*(Arr_E*(1+0.5*Acuity_E))/Cap_Doc,1)+CEILING((0.85)*(Arr_N*(1+0.5*Acuity_N))/Cap_Doc,1)),Avail_Doc)))*Cap_Doc+(MAX(0,((CEILING((0.85)*(Arr_M)/Cap_Nurse,1)+CEILING((0.85)*(Arr_E)/Cap_Nurse,1)+CEILING((0.85)*(Arr_N)/Cap_Nurse,1)))-Avail_Nurse-(OTCapPct)*MIN((CEILING((0.85)*(Arr_M)/Cap_Nurse,1)+CEILING((0.85)*(Arr_E)/Cap_Nurse,1)+CEILING((0.85)*(Arr_N)/Cap_Nurse,1)),Avail_Nurse)))*Cap_Nurse+(MAX(0,((CEILING((0.85)*(Arr_M)/Cap_Tech,1)+CEILING((0.85)*(Arr_E)/Cap_Tech,1)+CEILING((0.85)*(Arr_N)/Cap_Tech,1)))-Avail_Tech-(OTCapPct)*MIN((CEILING((0.85)*(Arr_M)/Cap_Tech,1)+CEILING((0.85)*(Arr_E)/Cap_Tech,1)+CEILING((0.85)*(Arr_N)/Cap_Tech,1)),Avail_Tech)))*Cap_Tech+(MAX(0,(0.85)*Arr_M-(BedsAdded+BedsCurrent)*ShiftHours/BedHr_M)+MAX(0,(0.85)*Arr_E-(BedsAdded+BedsCurrent)*ShiftHours/BedHr_E)+MAX(0,(0.85)*Arr_N-(BedsAdded+BedsCurrent)*ShiftHours/BedHr_N))+(MAX(0,(0.85)*Arr_M*Acuity_M-(ImgBase+(ImgExpOn)*ImgExpAdd))+MAX(0,(0.85)*Arr_E*Acuity_E-(ImgBase+(ImgExpOn)*ImgExpAdd))+MAX(0,(0.85)*Arr_N*Acuity_N-(ImgBase+(ImgExpOn)*ImgExpAdd)))+(MAX(0,(0.85)*Arr_M-(LabBase+(LabExpOn)*LabExpAdd))+MAX(0,(0.85)*Arr_E-(LabBase+(LabExpOn)*LabExpAdd))+MAX(0,(0.85)*Arr_N-(LabBase+(LabExpOn)*LabExpAdd)))</f>
        <v>7</v>
      </c>
      <c r="E7" s="31">
        <f>B7-B11</f>
        <v>-147260</v>
      </c>
    </row>
    <row r="8" spans="1:5" x14ac:dyDescent="0.25">
      <c r="A8" s="29">
        <v>0.9</v>
      </c>
      <c r="B8" s="17">
        <f>((MIN((CEILING((0.9)*(Arr_M*(1+0.5*Acuity_M))/Cap_Doc,1)+CEILING((0.9)*(Arr_E*(1+0.5*Acuity_E))/Cap_Doc,1)+CEILING((0.9)*(Arr_N*(1+0.5*Acuity_N))/Cap_Doc,1)),Avail_Doc))*RegCost_Doc+(MIN(MAX((CEILING((0.9)*(Arr_M*(1+0.5*Acuity_M))/Cap_Doc,1)+CEILING((0.9)*(Arr_E*(1+0.5*Acuity_E))/Cap_Doc,1)+CEILING((0.9)*(Arr_N*(1+0.5*Acuity_N))/Cap_Doc,1))-Avail_Doc,0),(OTCapPct)*MIN((CEILING((0.9)*(Arr_M*(1+0.5*Acuity_M))/Cap_Doc,1)+CEILING((0.9)*(Arr_E*(1+0.5*Acuity_E))/Cap_Doc,1)+CEILING((0.9)*(Arr_N*(1+0.5*Acuity_N))/Cap_Doc,1)),Avail_Doc)))*OTCost_Doc+(MIN((CEILING((0.9)*(Arr_M)/Cap_Nurse,1)+CEILING((0.9)*(Arr_E)/Cap_Nurse,1)+CEILING((0.9)*(Arr_N)/Cap_Nurse,1)),Avail_Nurse))*RegCost_Nurse+(MIN(MAX((CEILING((0.9)*(Arr_M)/Cap_Nurse,1)+CEILING((0.9)*(Arr_E)/Cap_Nurse,1)+CEILING((0.9)*(Arr_N)/Cap_Nurse,1))-Avail_Nurse,0),(OTCapPct)*MIN((CEILING((0.9)*(Arr_M)/Cap_Nurse,1)+CEILING((0.9)*(Arr_E)/Cap_Nurse,1)+CEILING((0.9)*(Arr_N)/Cap_Nurse,1)),Avail_Nurse)))*OTCost_Nurse+(MIN((CEILING((0.9)*(Arr_M)/Cap_Tech,1)+CEILING((0.9)*(Arr_E)/Cap_Tech,1)+CEILING((0.9)*(Arr_N)/Cap_Tech,1)),Avail_Tech))*RegCost_Tech+(MIN(MAX((CEILING((0.9)*(Arr_M)/Cap_Tech,1)+CEILING((0.9)*(Arr_E)/Cap_Tech,1)+CEILING((0.9)*(Arr_N)/Cap_Tech,1))-Avail_Tech,0),(OTCapPct)*MIN((CEILING((0.9)*(Arr_M)/Cap_Tech,1)+CEILING((0.9)*(Arr_E)/Cap_Tech,1)+CEILING((0.9)*(Arr_N)/Cap_Tech,1)),Avail_Tech)))*OTCost_Tech)+((BedsAdded)*BedCostPerBed+(ImgExpOn)*ImgExpCost+(LabExpOn)*LabExpCost)+(((MAX(0,((CEILING((0.9)*(Arr_M*(1+0.5*Acuity_M))/Cap_Doc,1)+CEILING((0.9)*(Arr_E*(1+0.5*Acuity_E))/Cap_Doc,1)+CEILING((0.9)*(Arr_N*(1+0.5*Acuity_N))/Cap_Doc,1)))-Avail_Doc-(OTCapPct)*MIN((CEILING((0.9)*(Arr_M*(1+0.5*Acuity_M))/Cap_Doc,1)+CEILING((0.9)*(Arr_E*(1+0.5*Acuity_E))/Cap_Doc,1)+CEILING((0.9)*(Arr_N*(1+0.5*Acuity_N))/Cap_Doc,1)),Avail_Doc)))*Cap_Doc+(MAX(0,((CEILING((0.9)*(Arr_M)/Cap_Nurse,1)+CEILING((0.9)*(Arr_E)/Cap_Nurse,1)+CEILING((0.9)*(Arr_N)/Cap_Nurse,1)))-Avail_Nurse-(OTCapPct)*MIN((CEILING((0.9)*(Arr_M)/Cap_Nurse,1)+CEILING((0.9)*(Arr_E)/Cap_Nurse,1)+CEILING((0.9)*(Arr_N)/Cap_Nurse,1)),Avail_Nurse)))*Cap_Nurse+(MAX(0,((CEILING((0.9)*(Arr_M)/Cap_Tech,1)+CEILING((0.9)*(Arr_E)/Cap_Tech,1)+CEILING((0.9)*(Arr_N)/Cap_Tech,1)))-Avail_Tech-(OTCapPct)*MIN((CEILING((0.9)*(Arr_M)/Cap_Tech,1)+CEILING((0.9)*(Arr_E)/Cap_Tech,1)+CEILING((0.9)*(Arr_N)/Cap_Tech,1)),Avail_Tech)))*Cap_Tech+(MAX(0,(0.9)*Arr_M-(BedsAdded+BedsCurrent)*ShiftHours/BedHr_M)+MAX(0,(0.9)*Arr_E-(BedsAdded+BedsCurrent)*ShiftHours/BedHr_E)+MAX(0,(0.9)*Arr_N-(BedsAdded+BedsCurrent)*ShiftHours/BedHr_N))+(MAX(0,(0.9)*Arr_M*Acuity_M-(ImgBase+(ImgExpOn)*ImgExpAdd))+MAX(0,(0.9)*Arr_E*Acuity_E-(ImgBase+(ImgExpOn)*ImgExpAdd))+MAX(0,(0.9)*Arr_N*Acuity_N-(ImgBase+(ImgExpOn)*ImgExpAdd)))+(MAX(0,(0.9)*Arr_M-(LabBase+(LabExpOn)*LabExpAdd))+MAX(0,(0.9)*Arr_E-(LabBase+(LabExpOn)*LabExpAdd))+MAX(0,(0.9)*Arr_N-(LabBase+(LabExpOn)*LabExpAdd))))*(PenUncovered*(1-DivertShare)+PenDiverted*DivertShare))</f>
        <v>361650</v>
      </c>
      <c r="C8" s="30">
        <f>1-((MAX(0,((CEILING((0.9)*(Arr_M*(1+0.5*Acuity_M))/Cap_Doc,1)+CEILING((0.9)*(Arr_E*(1+0.5*Acuity_E))/Cap_Doc,1)+CEILING((0.9)*(Arr_N*(1+0.5*Acuity_N))/Cap_Doc,1)))-Avail_Doc-(OTCapPct)*MIN((CEILING((0.9)*(Arr_M*(1+0.5*Acuity_M))/Cap_Doc,1)+CEILING((0.9)*(Arr_E*(1+0.5*Acuity_E))/Cap_Doc,1)+CEILING((0.9)*(Arr_N*(1+0.5*Acuity_N))/Cap_Doc,1)),Avail_Doc)))*Cap_Doc+(MAX(0,((CEILING((0.9)*(Arr_M)/Cap_Nurse,1)+CEILING((0.9)*(Arr_E)/Cap_Nurse,1)+CEILING((0.9)*(Arr_N)/Cap_Nurse,1)))-Avail_Nurse-(OTCapPct)*MIN((CEILING((0.9)*(Arr_M)/Cap_Nurse,1)+CEILING((0.9)*(Arr_E)/Cap_Nurse,1)+CEILING((0.9)*(Arr_N)/Cap_Nurse,1)),Avail_Nurse)))*Cap_Nurse+(MAX(0,((CEILING((0.9)*(Arr_M)/Cap_Tech,1)+CEILING((0.9)*(Arr_E)/Cap_Tech,1)+CEILING((0.9)*(Arr_N)/Cap_Tech,1)))-Avail_Tech-(OTCapPct)*MIN((CEILING((0.9)*(Arr_M)/Cap_Tech,1)+CEILING((0.9)*(Arr_E)/Cap_Tech,1)+CEILING((0.9)*(Arr_N)/Cap_Tech,1)),Avail_Tech)))*Cap_Tech+(MAX(0,(0.9)*Arr_M-(BedsAdded+BedsCurrent)*ShiftHours/BedHr_M)+MAX(0,(0.9)*Arr_E-(BedsAdded+BedsCurrent)*ShiftHours/BedHr_E)+MAX(0,(0.9)*Arr_N-(BedsAdded+BedsCurrent)*ShiftHours/BedHr_N))+(MAX(0,(0.9)*Arr_M*Acuity_M-(ImgBase+(ImgExpOn)*ImgExpAdd))+MAX(0,(0.9)*Arr_E*Acuity_E-(ImgBase+(ImgExpOn)*ImgExpAdd))+MAX(0,(0.9)*Arr_N*Acuity_N-(ImgBase+(ImgExpOn)*ImgExpAdd)))+(MAX(0,(0.9)*Arr_M-(LabBase+(LabExpOn)*LabExpAdd))+MAX(0,(0.9)*Arr_E-(LabBase+(LabExpOn)*LabExpAdd))+MAX(0,(0.9)*Arr_N-(LabBase+(LabExpOn)*LabExpAdd))))/(Arr_M+Arr_E+Arr_N)</f>
        <v>0.95185185185185184</v>
      </c>
      <c r="D8" s="27">
        <f>(MAX(0,((CEILING((0.9)*(Arr_M*(1+0.5*Acuity_M))/Cap_Doc,1)+CEILING((0.9)*(Arr_E*(1+0.5*Acuity_E))/Cap_Doc,1)+CEILING((0.9)*(Arr_N*(1+0.5*Acuity_N))/Cap_Doc,1)))-Avail_Doc-(OTCapPct)*MIN((CEILING((0.9)*(Arr_M*(1+0.5*Acuity_M))/Cap_Doc,1)+CEILING((0.9)*(Arr_E*(1+0.5*Acuity_E))/Cap_Doc,1)+CEILING((0.9)*(Arr_N*(1+0.5*Acuity_N))/Cap_Doc,1)),Avail_Doc)))*Cap_Doc+(MAX(0,((CEILING((0.9)*(Arr_M)/Cap_Nurse,1)+CEILING((0.9)*(Arr_E)/Cap_Nurse,1)+CEILING((0.9)*(Arr_N)/Cap_Nurse,1)))-Avail_Nurse-(OTCapPct)*MIN((CEILING((0.9)*(Arr_M)/Cap_Nurse,1)+CEILING((0.9)*(Arr_E)/Cap_Nurse,1)+CEILING((0.9)*(Arr_N)/Cap_Nurse,1)),Avail_Nurse)))*Cap_Nurse+(MAX(0,((CEILING((0.9)*(Arr_M)/Cap_Tech,1)+CEILING((0.9)*(Arr_E)/Cap_Tech,1)+CEILING((0.9)*(Arr_N)/Cap_Tech,1)))-Avail_Tech-(OTCapPct)*MIN((CEILING((0.9)*(Arr_M)/Cap_Tech,1)+CEILING((0.9)*(Arr_E)/Cap_Tech,1)+CEILING((0.9)*(Arr_N)/Cap_Tech,1)),Avail_Tech)))*Cap_Tech+(MAX(0,(0.9)*Arr_M-(BedsAdded+BedsCurrent)*ShiftHours/BedHr_M)+MAX(0,(0.9)*Arr_E-(BedsAdded+BedsCurrent)*ShiftHours/BedHr_E)+MAX(0,(0.9)*Arr_N-(BedsAdded+BedsCurrent)*ShiftHours/BedHr_N))+(MAX(0,(0.9)*Arr_M*Acuity_M-(ImgBase+(ImgExpOn)*ImgExpAdd))+MAX(0,(0.9)*Arr_E*Acuity_E-(ImgBase+(ImgExpOn)*ImgExpAdd))+MAX(0,(0.9)*Arr_N*Acuity_N-(ImgBase+(ImgExpOn)*ImgExpAdd)))+(MAX(0,(0.9)*Arr_M-(LabBase+(LabExpOn)*LabExpAdd))+MAX(0,(0.9)*Arr_E-(LabBase+(LabExpOn)*LabExpAdd))+MAX(0,(0.9)*Arr_N-(LabBase+(LabExpOn)*LabExpAdd)))</f>
        <v>13</v>
      </c>
      <c r="E8" s="31">
        <f>B8-B11</f>
        <v>-104960</v>
      </c>
    </row>
    <row r="9" spans="1:5" x14ac:dyDescent="0.25">
      <c r="A9" s="29">
        <v>0.95</v>
      </c>
      <c r="B9" s="17">
        <f>((MIN((CEILING((0.95)*(Arr_M*(1+0.5*Acuity_M))/Cap_Doc,1)+CEILING((0.95)*(Arr_E*(1+0.5*Acuity_E))/Cap_Doc,1)+CEILING((0.95)*(Arr_N*(1+0.5*Acuity_N))/Cap_Doc,1)),Avail_Doc))*RegCost_Doc+(MIN(MAX((CEILING((0.95)*(Arr_M*(1+0.5*Acuity_M))/Cap_Doc,1)+CEILING((0.95)*(Arr_E*(1+0.5*Acuity_E))/Cap_Doc,1)+CEILING((0.95)*(Arr_N*(1+0.5*Acuity_N))/Cap_Doc,1))-Avail_Doc,0),(OTCapPct)*MIN((CEILING((0.95)*(Arr_M*(1+0.5*Acuity_M))/Cap_Doc,1)+CEILING((0.95)*(Arr_E*(1+0.5*Acuity_E))/Cap_Doc,1)+CEILING((0.95)*(Arr_N*(1+0.5*Acuity_N))/Cap_Doc,1)),Avail_Doc)))*OTCost_Doc+(MIN((CEILING((0.95)*(Arr_M)/Cap_Nurse,1)+CEILING((0.95)*(Arr_E)/Cap_Nurse,1)+CEILING((0.95)*(Arr_N)/Cap_Nurse,1)),Avail_Nurse))*RegCost_Nurse+(MIN(MAX((CEILING((0.95)*(Arr_M)/Cap_Nurse,1)+CEILING((0.95)*(Arr_E)/Cap_Nurse,1)+CEILING((0.95)*(Arr_N)/Cap_Nurse,1))-Avail_Nurse,0),(OTCapPct)*MIN((CEILING((0.95)*(Arr_M)/Cap_Nurse,1)+CEILING((0.95)*(Arr_E)/Cap_Nurse,1)+CEILING((0.95)*(Arr_N)/Cap_Nurse,1)),Avail_Nurse)))*OTCost_Nurse+(MIN((CEILING((0.95)*(Arr_M)/Cap_Tech,1)+CEILING((0.95)*(Arr_E)/Cap_Tech,1)+CEILING((0.95)*(Arr_N)/Cap_Tech,1)),Avail_Tech))*RegCost_Tech+(MIN(MAX((CEILING((0.95)*(Arr_M)/Cap_Tech,1)+CEILING((0.95)*(Arr_E)/Cap_Tech,1)+CEILING((0.95)*(Arr_N)/Cap_Tech,1))-Avail_Tech,0),(OTCapPct)*MIN((CEILING((0.95)*(Arr_M)/Cap_Tech,1)+CEILING((0.95)*(Arr_E)/Cap_Tech,1)+CEILING((0.95)*(Arr_N)/Cap_Tech,1)),Avail_Tech)))*OTCost_Tech)+((BedsAdded)*BedCostPerBed+(ImgExpOn)*ImgExpCost+(LabExpOn)*LabExpCost)+(((MAX(0,((CEILING((0.95)*(Arr_M*(1+0.5*Acuity_M))/Cap_Doc,1)+CEILING((0.95)*(Arr_E*(1+0.5*Acuity_E))/Cap_Doc,1)+CEILING((0.95)*(Arr_N*(1+0.5*Acuity_N))/Cap_Doc,1)))-Avail_Doc-(OTCapPct)*MIN((CEILING((0.95)*(Arr_M*(1+0.5*Acuity_M))/Cap_Doc,1)+CEILING((0.95)*(Arr_E*(1+0.5*Acuity_E))/Cap_Doc,1)+CEILING((0.95)*(Arr_N*(1+0.5*Acuity_N))/Cap_Doc,1)),Avail_Doc)))*Cap_Doc+(MAX(0,((CEILING((0.95)*(Arr_M)/Cap_Nurse,1)+CEILING((0.95)*(Arr_E)/Cap_Nurse,1)+CEILING((0.95)*(Arr_N)/Cap_Nurse,1)))-Avail_Nurse-(OTCapPct)*MIN((CEILING((0.95)*(Arr_M)/Cap_Nurse,1)+CEILING((0.95)*(Arr_E)/Cap_Nurse,1)+CEILING((0.95)*(Arr_N)/Cap_Nurse,1)),Avail_Nurse)))*Cap_Nurse+(MAX(0,((CEILING((0.95)*(Arr_M)/Cap_Tech,1)+CEILING((0.95)*(Arr_E)/Cap_Tech,1)+CEILING((0.95)*(Arr_N)/Cap_Tech,1)))-Avail_Tech-(OTCapPct)*MIN((CEILING((0.95)*(Arr_M)/Cap_Tech,1)+CEILING((0.95)*(Arr_E)/Cap_Tech,1)+CEILING((0.95)*(Arr_N)/Cap_Tech,1)),Avail_Tech)))*Cap_Tech+(MAX(0,(0.95)*Arr_M-(BedsAdded+BedsCurrent)*ShiftHours/BedHr_M)+MAX(0,(0.95)*Arr_E-(BedsAdded+BedsCurrent)*ShiftHours/BedHr_E)+MAX(0,(0.95)*Arr_N-(BedsAdded+BedsCurrent)*ShiftHours/BedHr_N))+(MAX(0,(0.95)*Arr_M*Acuity_M-(ImgBase+(ImgExpOn)*ImgExpAdd))+MAX(0,(0.95)*Arr_E*Acuity_E-(ImgBase+(ImgExpOn)*ImgExpAdd))+MAX(0,(0.95)*Arr_N*Acuity_N-(ImgBase+(ImgExpOn)*ImgExpAdd)))+(MAX(0,(0.95)*Arr_M-(LabBase+(LabExpOn)*LabExpAdd))+MAX(0,(0.95)*Arr_E-(LabBase+(LabExpOn)*LabExpAdd))+MAX(0,(0.95)*Arr_N-(LabBase+(LabExpOn)*LabExpAdd))))*(PenUncovered*(1-DivertShare)+PenDiverted*DivertShare))</f>
        <v>466610</v>
      </c>
      <c r="C9" s="30">
        <f>1-((MAX(0,((CEILING((0.95)*(Arr_M*(1+0.5*Acuity_M))/Cap_Doc,1)+CEILING((0.95)*(Arr_E*(1+0.5*Acuity_E))/Cap_Doc,1)+CEILING((0.95)*(Arr_N*(1+0.5*Acuity_N))/Cap_Doc,1)))-Avail_Doc-(OTCapPct)*MIN((CEILING((0.95)*(Arr_M*(1+0.5*Acuity_M))/Cap_Doc,1)+CEILING((0.95)*(Arr_E*(1+0.5*Acuity_E))/Cap_Doc,1)+CEILING((0.95)*(Arr_N*(1+0.5*Acuity_N))/Cap_Doc,1)),Avail_Doc)))*Cap_Doc+(MAX(0,((CEILING((0.95)*(Arr_M)/Cap_Nurse,1)+CEILING((0.95)*(Arr_E)/Cap_Nurse,1)+CEILING((0.95)*(Arr_N)/Cap_Nurse,1)))-Avail_Nurse-(OTCapPct)*MIN((CEILING((0.95)*(Arr_M)/Cap_Nurse,1)+CEILING((0.95)*(Arr_E)/Cap_Nurse,1)+CEILING((0.95)*(Arr_N)/Cap_Nurse,1)),Avail_Nurse)))*Cap_Nurse+(MAX(0,((CEILING((0.95)*(Arr_M)/Cap_Tech,1)+CEILING((0.95)*(Arr_E)/Cap_Tech,1)+CEILING((0.95)*(Arr_N)/Cap_Tech,1)))-Avail_Tech-(OTCapPct)*MIN((CEILING((0.95)*(Arr_M)/Cap_Tech,1)+CEILING((0.95)*(Arr_E)/Cap_Tech,1)+CEILING((0.95)*(Arr_N)/Cap_Tech,1)),Avail_Tech)))*Cap_Tech+(MAX(0,(0.95)*Arr_M-(BedsAdded+BedsCurrent)*ShiftHours/BedHr_M)+MAX(0,(0.95)*Arr_E-(BedsAdded+BedsCurrent)*ShiftHours/BedHr_E)+MAX(0,(0.95)*Arr_N-(BedsAdded+BedsCurrent)*ShiftHours/BedHr_N))+(MAX(0,(0.95)*Arr_M*Acuity_M-(ImgBase+(ImgExpOn)*ImgExpAdd))+MAX(0,(0.95)*Arr_E*Acuity_E-(ImgBase+(ImgExpOn)*ImgExpAdd))+MAX(0,(0.95)*Arr_N*Acuity_N-(ImgBase+(ImgExpOn)*ImgExpAdd)))+(MAX(0,(0.95)*Arr_M-(LabBase+(LabExpOn)*LabExpAdd))+MAX(0,(0.95)*Arr_E-(LabBase+(LabExpOn)*LabExpAdd))+MAX(0,(0.95)*Arr_N-(LabBase+(LabExpOn)*LabExpAdd))))/(Arr_M+Arr_E+Arr_N)</f>
        <v>0.91037037037037039</v>
      </c>
      <c r="D9" s="27">
        <f>(MAX(0,((CEILING((0.95)*(Arr_M*(1+0.5*Acuity_M))/Cap_Doc,1)+CEILING((0.95)*(Arr_E*(1+0.5*Acuity_E))/Cap_Doc,1)+CEILING((0.95)*(Arr_N*(1+0.5*Acuity_N))/Cap_Doc,1)))-Avail_Doc-(OTCapPct)*MIN((CEILING((0.95)*(Arr_M*(1+0.5*Acuity_M))/Cap_Doc,1)+CEILING((0.95)*(Arr_E*(1+0.5*Acuity_E))/Cap_Doc,1)+CEILING((0.95)*(Arr_N*(1+0.5*Acuity_N))/Cap_Doc,1)),Avail_Doc)))*Cap_Doc+(MAX(0,((CEILING((0.95)*(Arr_M)/Cap_Nurse,1)+CEILING((0.95)*(Arr_E)/Cap_Nurse,1)+CEILING((0.95)*(Arr_N)/Cap_Nurse,1)))-Avail_Nurse-(OTCapPct)*MIN((CEILING((0.95)*(Arr_M)/Cap_Nurse,1)+CEILING((0.95)*(Arr_E)/Cap_Nurse,1)+CEILING((0.95)*(Arr_N)/Cap_Nurse,1)),Avail_Nurse)))*Cap_Nurse+(MAX(0,((CEILING((0.95)*(Arr_M)/Cap_Tech,1)+CEILING((0.95)*(Arr_E)/Cap_Tech,1)+CEILING((0.95)*(Arr_N)/Cap_Tech,1)))-Avail_Tech-(OTCapPct)*MIN((CEILING((0.95)*(Arr_M)/Cap_Tech,1)+CEILING((0.95)*(Arr_E)/Cap_Tech,1)+CEILING((0.95)*(Arr_N)/Cap_Tech,1)),Avail_Tech)))*Cap_Tech+(MAX(0,(0.95)*Arr_M-(BedsAdded+BedsCurrent)*ShiftHours/BedHr_M)+MAX(0,(0.95)*Arr_E-(BedsAdded+BedsCurrent)*ShiftHours/BedHr_E)+MAX(0,(0.95)*Arr_N-(BedsAdded+BedsCurrent)*ShiftHours/BedHr_N))+(MAX(0,(0.95)*Arr_M*Acuity_M-(ImgBase+(ImgExpOn)*ImgExpAdd))+MAX(0,(0.95)*Arr_E*Acuity_E-(ImgBase+(ImgExpOn)*ImgExpAdd))+MAX(0,(0.95)*Arr_N*Acuity_N-(ImgBase+(ImgExpOn)*ImgExpAdd)))+(MAX(0,(0.95)*Arr_M-(LabBase+(LabExpOn)*LabExpAdd))+MAX(0,(0.95)*Arr_E-(LabBase+(LabExpOn)*LabExpAdd))+MAX(0,(0.95)*Arr_N-(LabBase+(LabExpOn)*LabExpAdd)))</f>
        <v>24.200000000000003</v>
      </c>
      <c r="E9" s="31">
        <f>B9-B11</f>
        <v>0</v>
      </c>
    </row>
    <row r="10" spans="1:5" x14ac:dyDescent="0.25">
      <c r="A10" s="29">
        <v>0.99</v>
      </c>
      <c r="B10" s="17">
        <f>((MIN((CEILING((0.99)*(Arr_M*(1+0.5*Acuity_M))/Cap_Doc,1)+CEILING((0.99)*(Arr_E*(1+0.5*Acuity_E))/Cap_Doc,1)+CEILING((0.99)*(Arr_N*(1+0.5*Acuity_N))/Cap_Doc,1)),Avail_Doc))*RegCost_Doc+(MIN(MAX((CEILING((0.99)*(Arr_M*(1+0.5*Acuity_M))/Cap_Doc,1)+CEILING((0.99)*(Arr_E*(1+0.5*Acuity_E))/Cap_Doc,1)+CEILING((0.99)*(Arr_N*(1+0.5*Acuity_N))/Cap_Doc,1))-Avail_Doc,0),(OTCapPct)*MIN((CEILING((0.99)*(Arr_M*(1+0.5*Acuity_M))/Cap_Doc,1)+CEILING((0.99)*(Arr_E*(1+0.5*Acuity_E))/Cap_Doc,1)+CEILING((0.99)*(Arr_N*(1+0.5*Acuity_N))/Cap_Doc,1)),Avail_Doc)))*OTCost_Doc+(MIN((CEILING((0.99)*(Arr_M)/Cap_Nurse,1)+CEILING((0.99)*(Arr_E)/Cap_Nurse,1)+CEILING((0.99)*(Arr_N)/Cap_Nurse,1)),Avail_Nurse))*RegCost_Nurse+(MIN(MAX((CEILING((0.99)*(Arr_M)/Cap_Nurse,1)+CEILING((0.99)*(Arr_E)/Cap_Nurse,1)+CEILING((0.99)*(Arr_N)/Cap_Nurse,1))-Avail_Nurse,0),(OTCapPct)*MIN((CEILING((0.99)*(Arr_M)/Cap_Nurse,1)+CEILING((0.99)*(Arr_E)/Cap_Nurse,1)+CEILING((0.99)*(Arr_N)/Cap_Nurse,1)),Avail_Nurse)))*OTCost_Nurse+(MIN((CEILING((0.99)*(Arr_M)/Cap_Tech,1)+CEILING((0.99)*(Arr_E)/Cap_Tech,1)+CEILING((0.99)*(Arr_N)/Cap_Tech,1)),Avail_Tech))*RegCost_Tech+(MIN(MAX((CEILING((0.99)*(Arr_M)/Cap_Tech,1)+CEILING((0.99)*(Arr_E)/Cap_Tech,1)+CEILING((0.99)*(Arr_N)/Cap_Tech,1))-Avail_Tech,0),(OTCapPct)*MIN((CEILING((0.99)*(Arr_M)/Cap_Tech,1)+CEILING((0.99)*(Arr_E)/Cap_Tech,1)+CEILING((0.99)*(Arr_N)/Cap_Tech,1)),Avail_Tech)))*OTCost_Tech)+((BedsAdded)*BedCostPerBed+(ImgExpOn)*ImgExpCost+(LabExpOn)*LabExpCost)+(((MAX(0,((CEILING((0.99)*(Arr_M*(1+0.5*Acuity_M))/Cap_Doc,1)+CEILING((0.99)*(Arr_E*(1+0.5*Acuity_E))/Cap_Doc,1)+CEILING((0.99)*(Arr_N*(1+0.5*Acuity_N))/Cap_Doc,1)))-Avail_Doc-(OTCapPct)*MIN((CEILING((0.99)*(Arr_M*(1+0.5*Acuity_M))/Cap_Doc,1)+CEILING((0.99)*(Arr_E*(1+0.5*Acuity_E))/Cap_Doc,1)+CEILING((0.99)*(Arr_N*(1+0.5*Acuity_N))/Cap_Doc,1)),Avail_Doc)))*Cap_Doc+(MAX(0,((CEILING((0.99)*(Arr_M)/Cap_Nurse,1)+CEILING((0.99)*(Arr_E)/Cap_Nurse,1)+CEILING((0.99)*(Arr_N)/Cap_Nurse,1)))-Avail_Nurse-(OTCapPct)*MIN((CEILING((0.99)*(Arr_M)/Cap_Nurse,1)+CEILING((0.99)*(Arr_E)/Cap_Nurse,1)+CEILING((0.99)*(Arr_N)/Cap_Nurse,1)),Avail_Nurse)))*Cap_Nurse+(MAX(0,((CEILING((0.99)*(Arr_M)/Cap_Tech,1)+CEILING((0.99)*(Arr_E)/Cap_Tech,1)+CEILING((0.99)*(Arr_N)/Cap_Tech,1)))-Avail_Tech-(OTCapPct)*MIN((CEILING((0.99)*(Arr_M)/Cap_Tech,1)+CEILING((0.99)*(Arr_E)/Cap_Tech,1)+CEILING((0.99)*(Arr_N)/Cap_Tech,1)),Avail_Tech)))*Cap_Tech+(MAX(0,(0.99)*Arr_M-(BedsAdded+BedsCurrent)*ShiftHours/BedHr_M)+MAX(0,(0.99)*Arr_E-(BedsAdded+BedsCurrent)*ShiftHours/BedHr_E)+MAX(0,(0.99)*Arr_N-(BedsAdded+BedsCurrent)*ShiftHours/BedHr_N))+(MAX(0,(0.99)*Arr_M*Acuity_M-(ImgBase+(ImgExpOn)*ImgExpAdd))+MAX(0,(0.99)*Arr_E*Acuity_E-(ImgBase+(ImgExpOn)*ImgExpAdd))+MAX(0,(0.99)*Arr_N*Acuity_N-(ImgBase+(ImgExpOn)*ImgExpAdd)))+(MAX(0,(0.99)*Arr_M-(LabBase+(LabExpOn)*LabExpAdd))+MAX(0,(0.99)*Arr_E-(LabBase+(LabExpOn)*LabExpAdd))+MAX(0,(0.99)*Arr_N-(LabBase+(LabExpOn)*LabExpAdd))))*(PenUncovered*(1-DivertShare)+PenDiverted*DivertShare))</f>
        <v>565790</v>
      </c>
      <c r="C10" s="30">
        <f>1-((MAX(0,((CEILING((0.99)*(Arr_M*(1+0.5*Acuity_M))/Cap_Doc,1)+CEILING((0.99)*(Arr_E*(1+0.5*Acuity_E))/Cap_Doc,1)+CEILING((0.99)*(Arr_N*(1+0.5*Acuity_N))/Cap_Doc,1)))-Avail_Doc-(OTCapPct)*MIN((CEILING((0.99)*(Arr_M*(1+0.5*Acuity_M))/Cap_Doc,1)+CEILING((0.99)*(Arr_E*(1+0.5*Acuity_E))/Cap_Doc,1)+CEILING((0.99)*(Arr_N*(1+0.5*Acuity_N))/Cap_Doc,1)),Avail_Doc)))*Cap_Doc+(MAX(0,((CEILING((0.99)*(Arr_M)/Cap_Nurse,1)+CEILING((0.99)*(Arr_E)/Cap_Nurse,1)+CEILING((0.99)*(Arr_N)/Cap_Nurse,1)))-Avail_Nurse-(OTCapPct)*MIN((CEILING((0.99)*(Arr_M)/Cap_Nurse,1)+CEILING((0.99)*(Arr_E)/Cap_Nurse,1)+CEILING((0.99)*(Arr_N)/Cap_Nurse,1)),Avail_Nurse)))*Cap_Nurse+(MAX(0,((CEILING((0.99)*(Arr_M)/Cap_Tech,1)+CEILING((0.99)*(Arr_E)/Cap_Tech,1)+CEILING((0.99)*(Arr_N)/Cap_Tech,1)))-Avail_Tech-(OTCapPct)*MIN((CEILING((0.99)*(Arr_M)/Cap_Tech,1)+CEILING((0.99)*(Arr_E)/Cap_Tech,1)+CEILING((0.99)*(Arr_N)/Cap_Tech,1)),Avail_Tech)))*Cap_Tech+(MAX(0,(0.99)*Arr_M-(BedsAdded+BedsCurrent)*ShiftHours/BedHr_M)+MAX(0,(0.99)*Arr_E-(BedsAdded+BedsCurrent)*ShiftHours/BedHr_E)+MAX(0,(0.99)*Arr_N-(BedsAdded+BedsCurrent)*ShiftHours/BedHr_N))+(MAX(0,(0.99)*Arr_M*Acuity_M-(ImgBase+(ImgExpOn)*ImgExpAdd))+MAX(0,(0.99)*Arr_E*Acuity_E-(ImgBase+(ImgExpOn)*ImgExpAdd))+MAX(0,(0.99)*Arr_N*Acuity_N-(ImgBase+(ImgExpOn)*ImgExpAdd)))+(MAX(0,(0.99)*Arr_M-(LabBase+(LabExpOn)*LabExpAdd))+MAX(0,(0.99)*Arr_E-(LabBase+(LabExpOn)*LabExpAdd))+MAX(0,(0.99)*Arr_N-(LabBase+(LabExpOn)*LabExpAdd))))/(Arr_M+Arr_E+Arr_N)</f>
        <v>0.87481481481481482</v>
      </c>
      <c r="D10" s="27">
        <f>(MAX(0,((CEILING((0.99)*(Arr_M*(1+0.5*Acuity_M))/Cap_Doc,1)+CEILING((0.99)*(Arr_E*(1+0.5*Acuity_E))/Cap_Doc,1)+CEILING((0.99)*(Arr_N*(1+0.5*Acuity_N))/Cap_Doc,1)))-Avail_Doc-(OTCapPct)*MIN((CEILING((0.99)*(Arr_M*(1+0.5*Acuity_M))/Cap_Doc,1)+CEILING((0.99)*(Arr_E*(1+0.5*Acuity_E))/Cap_Doc,1)+CEILING((0.99)*(Arr_N*(1+0.5*Acuity_N))/Cap_Doc,1)),Avail_Doc)))*Cap_Doc+(MAX(0,((CEILING((0.99)*(Arr_M)/Cap_Nurse,1)+CEILING((0.99)*(Arr_E)/Cap_Nurse,1)+CEILING((0.99)*(Arr_N)/Cap_Nurse,1)))-Avail_Nurse-(OTCapPct)*MIN((CEILING((0.99)*(Arr_M)/Cap_Nurse,1)+CEILING((0.99)*(Arr_E)/Cap_Nurse,1)+CEILING((0.99)*(Arr_N)/Cap_Nurse,1)),Avail_Nurse)))*Cap_Nurse+(MAX(0,((CEILING((0.99)*(Arr_M)/Cap_Tech,1)+CEILING((0.99)*(Arr_E)/Cap_Tech,1)+CEILING((0.99)*(Arr_N)/Cap_Tech,1)))-Avail_Tech-(OTCapPct)*MIN((CEILING((0.99)*(Arr_M)/Cap_Tech,1)+CEILING((0.99)*(Arr_E)/Cap_Tech,1)+CEILING((0.99)*(Arr_N)/Cap_Tech,1)),Avail_Tech)))*Cap_Tech+(MAX(0,(0.99)*Arr_M-(BedsAdded+BedsCurrent)*ShiftHours/BedHr_M)+MAX(0,(0.99)*Arr_E-(BedsAdded+BedsCurrent)*ShiftHours/BedHr_E)+MAX(0,(0.99)*Arr_N-(BedsAdded+BedsCurrent)*ShiftHours/BedHr_N))+(MAX(0,(0.99)*Arr_M*Acuity_M-(ImgBase+(ImgExpOn)*ImgExpAdd))+MAX(0,(0.99)*Arr_E*Acuity_E-(ImgBase+(ImgExpOn)*ImgExpAdd))+MAX(0,(0.99)*Arr_N*Acuity_N-(ImgBase+(ImgExpOn)*ImgExpAdd)))+(MAX(0,(0.99)*Arr_M-(LabBase+(LabExpOn)*LabExpAdd))+MAX(0,(0.99)*Arr_E-(LabBase+(LabExpOn)*LabExpAdd))+MAX(0,(0.99)*Arr_N-(LabBase+(LabExpOn)*LabExpAdd)))</f>
        <v>33.799999999999997</v>
      </c>
      <c r="E10" s="31">
        <f>B10-B11</f>
        <v>99180</v>
      </c>
    </row>
    <row r="11" spans="1:5" x14ac:dyDescent="0.25">
      <c r="A11" s="32" t="s">
        <v>157</v>
      </c>
      <c r="B11" s="33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11" s="34">
        <f>1-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11" s="35">
        <f>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</row>
    <row r="13" spans="1:5" ht="15.75" x14ac:dyDescent="0.25">
      <c r="A13" s="3" t="s">
        <v>198</v>
      </c>
      <c r="B13" s="4"/>
      <c r="C13" s="4"/>
      <c r="D13" s="4"/>
      <c r="E13" s="4"/>
    </row>
    <row r="14" spans="1:5" ht="30" x14ac:dyDescent="0.25">
      <c r="A14" s="25" t="s">
        <v>158</v>
      </c>
      <c r="B14" s="25" t="s">
        <v>153</v>
      </c>
      <c r="C14" s="25" t="s">
        <v>154</v>
      </c>
      <c r="D14" s="25" t="s">
        <v>155</v>
      </c>
      <c r="E14" s="25" t="s">
        <v>156</v>
      </c>
    </row>
    <row r="15" spans="1:5" x14ac:dyDescent="0.25">
      <c r="A15" s="29">
        <v>0.15</v>
      </c>
      <c r="B15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(0.15)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(0.15)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(0.15)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(0.15)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(0.15)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(0.15)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15" s="30">
        <f>1-((MAX(0,((CEILING((ServiceTarget)*(Arr_M*(1+0.5*Acuity_M))/Cap_Doc,1)+CEILING((ServiceTarget)*(Arr_E*(1+0.5*Acuity_E))/Cap_Doc,1)+CEILING((ServiceTarget)*(Arr_N*(1+0.5*Acuity_N))/Cap_Doc,1)))-Avail_Doc-(0.15)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(0.15)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(0.15)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15" s="27">
        <f>(MAX(0,((CEILING((ServiceTarget)*(Arr_M*(1+0.5*Acuity_M))/Cap_Doc,1)+CEILING((ServiceTarget)*(Arr_E*(1+0.5*Acuity_E))/Cap_Doc,1)+CEILING((ServiceTarget)*(Arr_N*(1+0.5*Acuity_N))/Cap_Doc,1)))-Avail_Doc-(0.15)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(0.15)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(0.15)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  <c r="E15" s="31">
        <f>B15-B20</f>
        <v>0</v>
      </c>
    </row>
    <row r="16" spans="1:5" x14ac:dyDescent="0.25">
      <c r="A16" s="29">
        <v>0.2</v>
      </c>
      <c r="B16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(0.2)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(0.2)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(0.2)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(0.2)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(0.2)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(0.2)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16" s="30">
        <f>1-((MAX(0,((CEILING((ServiceTarget)*(Arr_M*(1+0.5*Acuity_M))/Cap_Doc,1)+CEILING((ServiceTarget)*(Arr_E*(1+0.5*Acuity_E))/Cap_Doc,1)+CEILING((ServiceTarget)*(Arr_N*(1+0.5*Acuity_N))/Cap_Doc,1)))-Avail_Doc-(0.2)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(0.2)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(0.2)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16" s="27">
        <f>(MAX(0,((CEILING((ServiceTarget)*(Arr_M*(1+0.5*Acuity_M))/Cap_Doc,1)+CEILING((ServiceTarget)*(Arr_E*(1+0.5*Acuity_E))/Cap_Doc,1)+CEILING((ServiceTarget)*(Arr_N*(1+0.5*Acuity_N))/Cap_Doc,1)))-Avail_Doc-(0.2)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(0.2)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(0.2)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  <c r="E16" s="31">
        <f>B16-B20</f>
        <v>0</v>
      </c>
    </row>
    <row r="17" spans="1:5" x14ac:dyDescent="0.25">
      <c r="A17" s="29">
        <v>0.25</v>
      </c>
      <c r="B17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(0.25)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(0.25)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(0.25)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(0.25)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(0.25)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(0.25)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17" s="30">
        <f>1-((MAX(0,((CEILING((ServiceTarget)*(Arr_M*(1+0.5*Acuity_M))/Cap_Doc,1)+CEILING((ServiceTarget)*(Arr_E*(1+0.5*Acuity_E))/Cap_Doc,1)+CEILING((ServiceTarget)*(Arr_N*(1+0.5*Acuity_N))/Cap_Doc,1)))-Avail_Doc-(0.25)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(0.25)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(0.25)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17" s="27">
        <f>(MAX(0,((CEILING((ServiceTarget)*(Arr_M*(1+0.5*Acuity_M))/Cap_Doc,1)+CEILING((ServiceTarget)*(Arr_E*(1+0.5*Acuity_E))/Cap_Doc,1)+CEILING((ServiceTarget)*(Arr_N*(1+0.5*Acuity_N))/Cap_Doc,1)))-Avail_Doc-(0.25)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(0.25)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(0.25)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  <c r="E17" s="31">
        <f>B17-B20</f>
        <v>0</v>
      </c>
    </row>
    <row r="18" spans="1:5" x14ac:dyDescent="0.25">
      <c r="A18" s="29">
        <v>0.3</v>
      </c>
      <c r="B18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(0.3)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(0.3)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(0.3)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(0.3)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(0.3)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(0.3)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18" s="30">
        <f>1-((MAX(0,((CEILING((ServiceTarget)*(Arr_M*(1+0.5*Acuity_M))/Cap_Doc,1)+CEILING((ServiceTarget)*(Arr_E*(1+0.5*Acuity_E))/Cap_Doc,1)+CEILING((ServiceTarget)*(Arr_N*(1+0.5*Acuity_N))/Cap_Doc,1)))-Avail_Doc-(0.3)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(0.3)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(0.3)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18" s="27">
        <f>(MAX(0,((CEILING((ServiceTarget)*(Arr_M*(1+0.5*Acuity_M))/Cap_Doc,1)+CEILING((ServiceTarget)*(Arr_E*(1+0.5*Acuity_E))/Cap_Doc,1)+CEILING((ServiceTarget)*(Arr_N*(1+0.5*Acuity_N))/Cap_Doc,1)))-Avail_Doc-(0.3)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(0.3)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(0.3)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  <c r="E18" s="31">
        <f>B18-B20</f>
        <v>0</v>
      </c>
    </row>
    <row r="19" spans="1:5" x14ac:dyDescent="0.25">
      <c r="A19" s="29">
        <v>0.35</v>
      </c>
      <c r="B19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(0.35)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(0.35)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(0.35)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(0.35)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(0.35)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(0.35)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19" s="30">
        <f>1-((MAX(0,((CEILING((ServiceTarget)*(Arr_M*(1+0.5*Acuity_M))/Cap_Doc,1)+CEILING((ServiceTarget)*(Arr_E*(1+0.5*Acuity_E))/Cap_Doc,1)+CEILING((ServiceTarget)*(Arr_N*(1+0.5*Acuity_N))/Cap_Doc,1)))-Avail_Doc-(0.35)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(0.35)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(0.35)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19" s="27">
        <f>(MAX(0,((CEILING((ServiceTarget)*(Arr_M*(1+0.5*Acuity_M))/Cap_Doc,1)+CEILING((ServiceTarget)*(Arr_E*(1+0.5*Acuity_E))/Cap_Doc,1)+CEILING((ServiceTarget)*(Arr_N*(1+0.5*Acuity_N))/Cap_Doc,1)))-Avail_Doc-(0.35)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(0.35)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(0.35)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  <c r="E19" s="31">
        <f>B19-B20</f>
        <v>0</v>
      </c>
    </row>
    <row r="20" spans="1:5" x14ac:dyDescent="0.25">
      <c r="A20" s="32" t="s">
        <v>157</v>
      </c>
      <c r="B20" s="33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BedsAdded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PenUncovered*(1-DivertShare)+PenDiverted*DivertShare))</f>
        <v>466610</v>
      </c>
      <c r="C20" s="34">
        <f>1-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/(Arr_M+Arr_E+Arr_N)</f>
        <v>0.91037037037037039</v>
      </c>
      <c r="D20" s="35">
        <f>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BedsAdded+BedsCurrent)*ShiftHours/BedHr_M)+MAX(0,(ServiceTarget)*Arr_E-(BedsAdded+BedsCurrent)*ShiftHours/BedHr_E)+MAX(0,(ServiceTarget)*Arr_N-(BedsAdded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</f>
        <v>24.200000000000003</v>
      </c>
    </row>
    <row r="22" spans="1:5" ht="15.75" x14ac:dyDescent="0.25">
      <c r="A22" s="3" t="s">
        <v>199</v>
      </c>
      <c r="B22" s="4"/>
      <c r="C22" s="4"/>
      <c r="D22" s="4"/>
      <c r="E22" s="4"/>
    </row>
    <row r="23" spans="1:5" ht="45" x14ac:dyDescent="0.25">
      <c r="A23" s="25" t="s">
        <v>159</v>
      </c>
      <c r="B23" s="25" t="s">
        <v>160</v>
      </c>
      <c r="C23" s="25" t="s">
        <v>161</v>
      </c>
      <c r="D23" s="25" t="s">
        <v>162</v>
      </c>
    </row>
    <row r="24" spans="1:5" x14ac:dyDescent="0.25">
      <c r="A24" s="17">
        <v>4500</v>
      </c>
      <c r="B24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(0+BedsCurrent)*ShiftHours/BedHr_M)+MAX(0,(ServiceTarget)*Arr_E-(0+BedsCurrent)*ShiftHours/BedHr_E)+MAX(0,(ServiceTarget)*Arr_N-(0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(4500*(1-DivertShare)+PenDiverted*DivertShare))</f>
        <v>441200</v>
      </c>
      <c r="C24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(10)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(10+BedsCurrent)*ShiftHours/BedHr_M)+MAX(0,(ServiceTarget)*Arr_E-(10+BedsCurrent)*ShiftHours/BedHr_E)+MAX(0,(ServiceTarget)*Arr_N-(10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(4500*(1-DivertShare)+PenDiverted*DivertShare))</f>
        <v>425000</v>
      </c>
      <c r="D24" s="31">
        <f>B24-C24</f>
        <v>16200</v>
      </c>
    </row>
    <row r="25" spans="1:5" x14ac:dyDescent="0.25">
      <c r="A25" s="17">
        <v>6000</v>
      </c>
      <c r="B25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(0+BedsCurrent)*ShiftHours/BedHr_M)+MAX(0,(ServiceTarget)*Arr_E-(0+BedsCurrent)*ShiftHours/BedHr_E)+MAX(0,(ServiceTarget)*Arr_N-(0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(6000*(1-DivertShare)+PenDiverted*DivertShare))</f>
        <v>466610</v>
      </c>
      <c r="C25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(10)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(10+BedsCurrent)*ShiftHours/BedHr_M)+MAX(0,(ServiceTarget)*Arr_E-(10+BedsCurrent)*ShiftHours/BedHr_E)+MAX(0,(ServiceTarget)*Arr_N-(10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(6000*(1-DivertShare)+PenDiverted*DivertShare))</f>
        <v>444950</v>
      </c>
      <c r="D25" s="31">
        <f>B25-C25</f>
        <v>21660</v>
      </c>
    </row>
    <row r="26" spans="1:5" x14ac:dyDescent="0.25">
      <c r="A26" s="17">
        <v>7500</v>
      </c>
      <c r="B26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(0+BedsCurrent)*ShiftHours/BedHr_M)+MAX(0,(ServiceTarget)*Arr_E-(0+BedsCurrent)*ShiftHours/BedHr_E)+MAX(0,(ServiceTarget)*Arr_N-(0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(7500*(1-DivertShare)+PenDiverted*DivertShare))</f>
        <v>492020</v>
      </c>
      <c r="C26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(10)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(10+BedsCurrent)*ShiftHours/BedHr_M)+MAX(0,(ServiceTarget)*Arr_E-(10+BedsCurrent)*ShiftHours/BedHr_E)+MAX(0,(ServiceTarget)*Arr_N-(10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(7500*(1-DivertShare)+PenDiverted*DivertShare))</f>
        <v>464900</v>
      </c>
      <c r="D26" s="31">
        <f>B26-C26</f>
        <v>27120</v>
      </c>
    </row>
    <row r="27" spans="1:5" x14ac:dyDescent="0.25">
      <c r="A27" s="17">
        <v>9000</v>
      </c>
      <c r="B27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(0+BedsCurrent)*ShiftHours/BedHr_M)+MAX(0,(ServiceTarget)*Arr_E-(0+BedsCurrent)*ShiftHours/BedHr_E)+MAX(0,(ServiceTarget)*Arr_N-(0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(9000*(1-DivertShare)+PenDiverted*DivertShare))</f>
        <v>517430</v>
      </c>
      <c r="C27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(10)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(10+BedsCurrent)*ShiftHours/BedHr_M)+MAX(0,(ServiceTarget)*Arr_E-(10+BedsCurrent)*ShiftHours/BedHr_E)+MAX(0,(ServiceTarget)*Arr_N-(10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(9000*(1-DivertShare)+PenDiverted*DivertShare))</f>
        <v>484850</v>
      </c>
      <c r="D27" s="31">
        <f>B27-C27</f>
        <v>32580</v>
      </c>
    </row>
    <row r="28" spans="1:5" x14ac:dyDescent="0.25">
      <c r="A28" s="17">
        <v>12000</v>
      </c>
      <c r="B28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(0+BedsCurrent)*ShiftHours/BedHr_M)+MAX(0,(ServiceTarget)*Arr_E-(0+BedsCurrent)*ShiftHours/BedHr_E)+MAX(0,(ServiceTarget)*Arr_N-(0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(12000*(1-DivertShare)+PenDiverted*DivertShare))</f>
        <v>568250</v>
      </c>
      <c r="C28" s="17">
        <f>((MIN((CEILING((ServiceTarget)*(Arr_M*(1+0.5*Acuity_M))/Cap_Doc,1)+CEILING((ServiceTarget)*(Arr_E*(1+0.5*Acuity_E))/Cap_Doc,1)+CEILING((ServiceTarget)*(Arr_N*(1+0.5*Acuity_N))/Cap_Doc,1)),Avail_Doc))*RegCost_Doc+(MIN(MAX((CEILING((ServiceTarget)*(Arr_M*(1+0.5*Acuity_M))/Cap_Doc,1)+CEILING((ServiceTarget)*(Arr_E*(1+0.5*Acuity_E))/Cap_Doc,1)+CEILING((ServiceTarget)*(Arr_N*(1+0.5*Acuity_N))/Cap_Doc,1))-Avail_Doc,0),(OTCapPct)*MIN((CEILING((ServiceTarget)*(Arr_M*(1+0.5*Acuity_M))/Cap_Doc,1)+CEILING((ServiceTarget)*(Arr_E*(1+0.5*Acuity_E))/Cap_Doc,1)+CEILING((ServiceTarget)*(Arr_N*(1+0.5*Acuity_N))/Cap_Doc,1)),Avail_Doc)))*OTCost_Doc+(MIN((CEILING((ServiceTarget)*(Arr_M)/Cap_Nurse,1)+CEILING((ServiceTarget)*(Arr_E)/Cap_Nurse,1)+CEILING((ServiceTarget)*(Arr_N)/Cap_Nurse,1)),Avail_Nurse))*RegCost_Nurse+(MIN(MAX((CEILING((ServiceTarget)*(Arr_M)/Cap_Nurse,1)+CEILING((ServiceTarget)*(Arr_E)/Cap_Nurse,1)+CEILING((ServiceTarget)*(Arr_N)/Cap_Nurse,1))-Avail_Nurse,0),(OTCapPct)*MIN((CEILING((ServiceTarget)*(Arr_M)/Cap_Nurse,1)+CEILING((ServiceTarget)*(Arr_E)/Cap_Nurse,1)+CEILING((ServiceTarget)*(Arr_N)/Cap_Nurse,1)),Avail_Nurse)))*OTCost_Nurse+(MIN((CEILING((ServiceTarget)*(Arr_M)/Cap_Tech,1)+CEILING((ServiceTarget)*(Arr_E)/Cap_Tech,1)+CEILING((ServiceTarget)*(Arr_N)/Cap_Tech,1)),Avail_Tech))*RegCost_Tech+(MIN(MAX((CEILING((ServiceTarget)*(Arr_M)/Cap_Tech,1)+CEILING((ServiceTarget)*(Arr_E)/Cap_Tech,1)+CEILING((ServiceTarget)*(Arr_N)/Cap_Tech,1))-Avail_Tech,0),(OTCapPct)*MIN((CEILING((ServiceTarget)*(Arr_M)/Cap_Tech,1)+CEILING((ServiceTarget)*(Arr_E)/Cap_Tech,1)+CEILING((ServiceTarget)*(Arr_N)/Cap_Tech,1)),Avail_Tech)))*OTCost_Tech)+((10)*BedCostPerBed+(ImgExpOn)*ImgExpCost+(LabExpOn)*LabExpCost)+(((MAX(0,((CEILING((ServiceTarget)*(Arr_M*(1+0.5*Acuity_M))/Cap_Doc,1)+CEILING((ServiceTarget)*(Arr_E*(1+0.5*Acuity_E))/Cap_Doc,1)+CEILING((ServiceTarget)*(Arr_N*(1+0.5*Acuity_N))/Cap_Doc,1)))-Avail_Doc-(OTCapPct)*MIN((CEILING((ServiceTarget)*(Arr_M*(1+0.5*Acuity_M))/Cap_Doc,1)+CEILING((ServiceTarget)*(Arr_E*(1+0.5*Acuity_E))/Cap_Doc,1)+CEILING((ServiceTarget)*(Arr_N*(1+0.5*Acuity_N))/Cap_Doc,1)),Avail_Doc)))*Cap_Doc+(MAX(0,((CEILING((ServiceTarget)*(Arr_M)/Cap_Nurse,1)+CEILING((ServiceTarget)*(Arr_E)/Cap_Nurse,1)+CEILING((ServiceTarget)*(Arr_N)/Cap_Nurse,1)))-Avail_Nurse-(OTCapPct)*MIN((CEILING((ServiceTarget)*(Arr_M)/Cap_Nurse,1)+CEILING((ServiceTarget)*(Arr_E)/Cap_Nurse,1)+CEILING((ServiceTarget)*(Arr_N)/Cap_Nurse,1)),Avail_Nurse)))*Cap_Nurse+(MAX(0,((CEILING((ServiceTarget)*(Arr_M)/Cap_Tech,1)+CEILING((ServiceTarget)*(Arr_E)/Cap_Tech,1)+CEILING((ServiceTarget)*(Arr_N)/Cap_Tech,1)))-Avail_Tech-(OTCapPct)*MIN((CEILING((ServiceTarget)*(Arr_M)/Cap_Tech,1)+CEILING((ServiceTarget)*(Arr_E)/Cap_Tech,1)+CEILING((ServiceTarget)*(Arr_N)/Cap_Tech,1)),Avail_Tech)))*Cap_Tech+(MAX(0,(ServiceTarget)*Arr_M-(10+BedsCurrent)*ShiftHours/BedHr_M)+MAX(0,(ServiceTarget)*Arr_E-(10+BedsCurrent)*ShiftHours/BedHr_E)+MAX(0,(ServiceTarget)*Arr_N-(10+BedsCurrent)*ShiftHours/BedHr_N))+(MAX(0,(ServiceTarget)*Arr_M*Acuity_M-(ImgBase+(ImgExpOn)*ImgExpAdd))+MAX(0,(ServiceTarget)*Arr_E*Acuity_E-(ImgBase+(ImgExpOn)*ImgExpAdd))+MAX(0,(ServiceTarget)*Arr_N*Acuity_N-(ImgBase+(ImgExpOn)*ImgExpAdd)))+(MAX(0,(ServiceTarget)*Arr_M-(LabBase+(LabExpOn)*LabExpAdd))+MAX(0,(ServiceTarget)*Arr_E-(LabBase+(LabExpOn)*LabExpAdd))+MAX(0,(ServiceTarget)*Arr_N-(LabBase+(LabExpOn)*LabExpAdd))))*(12000*(1-DivertShare)+PenDiverted*DivertShare))</f>
        <v>524750</v>
      </c>
      <c r="D28" s="31">
        <f>B28-C28</f>
        <v>43500</v>
      </c>
    </row>
    <row r="30" spans="1:5" x14ac:dyDescent="0.25">
      <c r="A30" s="2"/>
    </row>
    <row r="32" spans="1:5" x14ac:dyDescent="0.25">
      <c r="A3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18"/>
  <sheetViews>
    <sheetView showGridLines="0" tabSelected="1" zoomScaleNormal="100" workbookViewId="0">
      <selection activeCell="R1" sqref="R1:R1048576"/>
    </sheetView>
  </sheetViews>
  <sheetFormatPr defaultColWidth="8.7109375" defaultRowHeight="15" x14ac:dyDescent="0.25"/>
  <cols>
    <col min="1" max="1" width="7" customWidth="1"/>
    <col min="2" max="2" width="10" customWidth="1"/>
    <col min="3" max="5" width="9" customWidth="1"/>
    <col min="6" max="9" width="10" customWidth="1"/>
    <col min="10" max="12" width="9" customWidth="1"/>
    <col min="13" max="14" width="12" customWidth="1"/>
    <col min="15" max="16" width="10" customWidth="1"/>
    <col min="17" max="17" width="12" customWidth="1"/>
  </cols>
  <sheetData>
    <row r="1" spans="1:17" ht="18" x14ac:dyDescent="0.25">
      <c r="A1" s="1" t="s">
        <v>163</v>
      </c>
    </row>
    <row r="2" spans="1:17" x14ac:dyDescent="0.25">
      <c r="A2" s="2"/>
    </row>
    <row r="4" spans="1:17" ht="30" customHeight="1" x14ac:dyDescent="0.25">
      <c r="A4" s="10" t="s">
        <v>164</v>
      </c>
      <c r="B4" s="10" t="s">
        <v>165</v>
      </c>
      <c r="C4" s="10" t="s">
        <v>166</v>
      </c>
      <c r="D4" s="10" t="s">
        <v>167</v>
      </c>
      <c r="E4" s="10" t="s">
        <v>168</v>
      </c>
      <c r="F4" s="10" t="s">
        <v>169</v>
      </c>
      <c r="G4" s="10" t="s">
        <v>170</v>
      </c>
      <c r="H4" s="10" t="s">
        <v>171</v>
      </c>
      <c r="I4" s="10" t="s">
        <v>172</v>
      </c>
      <c r="J4" s="10" t="s">
        <v>173</v>
      </c>
      <c r="K4" s="10" t="s">
        <v>174</v>
      </c>
      <c r="L4" s="10" t="s">
        <v>175</v>
      </c>
      <c r="M4" s="10" t="s">
        <v>176</v>
      </c>
      <c r="N4" s="10" t="s">
        <v>177</v>
      </c>
      <c r="O4" s="10" t="s">
        <v>178</v>
      </c>
      <c r="P4" s="10" t="s">
        <v>179</v>
      </c>
      <c r="Q4" s="10" t="s">
        <v>180</v>
      </c>
    </row>
    <row r="5" spans="1:17" x14ac:dyDescent="0.25">
      <c r="A5" s="11">
        <v>1</v>
      </c>
      <c r="B5" s="11" t="str">
        <f t="shared" ref="B5:B68" ca="1" si="0">IF(RAND()&lt;P_Normal,"Normal",IF(RAND()&lt;P_Complex/(P_Complex+P_Severe),"Complex","Severe"))</f>
        <v>Normal</v>
      </c>
      <c r="C5" s="11">
        <f t="shared" ref="C5:C68" ca="1" si="1">IF(B5="Normal",1,IF(B5="Complex",0.9,0.8))</f>
        <v>1</v>
      </c>
      <c r="D5" s="11">
        <f t="shared" ref="D5:D68" ca="1" si="2">IF(RAND()&lt;P_Incident,1,0)</f>
        <v>0</v>
      </c>
      <c r="E5" s="11">
        <f t="shared" ref="E5:E68" ca="1" si="3">RANDBETWEEN(1,3)</f>
        <v>3</v>
      </c>
      <c r="F5" s="36">
        <f t="shared" ref="F5:F68" ca="1" si="4">1-BedHrVariability+RAND()*2*BedHrVariability</f>
        <v>0.97314332227562383</v>
      </c>
      <c r="G5" s="11">
        <f t="shared" ref="G5:G68" ca="1" si="5">MIN(0.5,MAX(0,NORMINV(RAND(),BaseAbsence_Doc,SQRT(BaseAbsence_Doc*(1-BaseAbsence_Doc)/Avail_Doc))))</f>
        <v>0.107998476141589</v>
      </c>
      <c r="H5" s="11">
        <f t="shared" ref="H5:H68" ca="1" si="6">MIN(0.5,MAX(0,NORMINV(RAND(),BaseAbsence_Nurse,SQRT(BaseAbsence_Nurse*(1-BaseAbsence_Nurse)/Avail_Nurse))))</f>
        <v>0.12408334249850059</v>
      </c>
      <c r="I5" s="11">
        <f t="shared" ref="I5:I68" ca="1" si="7">MIN(0.5,MAX(0,NORMINV(RAND(),BaseAbsence_Tech,SQRT(BaseAbsence_Tech*(1-BaseAbsence_Tech)/Avail_Tech))))</f>
        <v>4.5832961419514033E-2</v>
      </c>
      <c r="J5" s="11">
        <f t="shared" ref="J5:J68" ca="1" si="8">MAX(0,ROUND(NORMINV(RAND(),Arr_M,SD_M)*IF(AND($D5=1,$E5=1),1+IncidentSeverity,1),0))</f>
        <v>72</v>
      </c>
      <c r="K5" s="11">
        <f t="shared" ref="K5:K68" ca="1" si="9">MAX(0,ROUND(NORMINV(RAND(),Arr_E,SD_E)*IF(AND($D5=1,$E5=2),1+IncidentSeverity,1),0))</f>
        <v>153</v>
      </c>
      <c r="L5" s="11">
        <f t="shared" ref="L5:L68" ca="1" si="10">MAX(0,ROUND(NORMINV(RAND(),Arr_N,SD_N)*IF(AND($D5=1,$E5=3),1+IncidentSeverity,1),0))</f>
        <v>81</v>
      </c>
      <c r="M5" s="11">
        <f ca="1">MAX(MAX(0,($J5*(1+0.5*Acuity_M))-(Model!$G$24*(1+OTCapPct)*(Cap_Doc*$C5*(1-$G5)))),MAX(0,($J5)-(Model!$G$6*(1+OTCapPct)*(Cap_Nurse*$C5*(1-$H5)))),MAX(0,($J5)-(Model!$G$15*(1+OTCapPct)*(Cap_Tech*$C5*(1-$I5)))),MAX(0,$J5-((BedsCurrent+BedsAdded)*ShiftHours*$F5/BedHr_M)),MAX(0,$J5*Acuity_M-(ImgBase+ImgExpOn*ImgExpAdd)),MAX(0,$J5-(LabBase+LabExpOn*LabExpAdd)))</f>
        <v>0</v>
      </c>
      <c r="N5" s="11">
        <f ca="1">MAX(MAX(0,($K5*(1+0.5*Acuity_E))-(Model!$G$25*(1+OTCapPct)*(Cap_Doc*$C5*(1-$G5)))),MAX(0,($K5)-(Model!$G$7*(1+OTCapPct)*(Cap_Nurse*$C5*(1-$H5)))),MAX(0,($K5)-(Model!$G$16*(1+OTCapPct)*(Cap_Tech*$C5*(1-$I5)))),MAX(0,$K5-((BedsCurrent+BedsAdded)*ShiftHours*$F5/BedHr_E)),MAX(0,$K5*Acuity_E-(ImgBase+ImgExpOn*ImgExpAdd)),MAX(0,$K5-(LabBase+LabExpOn*LabExpAdd)))</f>
        <v>58</v>
      </c>
      <c r="O5" s="11">
        <f ca="1">MAX(MAX(0,($L5*(1+0.5*Acuity_N))-(Model!$G$26*(1+OTCapPct)*(Cap_Doc*$C5*(1-$G5)))),MAX(0,($L5)-(Model!$G$8*(1+OTCapPct)*(Cap_Nurse*$C5*(1-$H5)))),MAX(0,($L5)-(Model!$G$17*(1+OTCapPct)*(Cap_Tech*$C5*(1-$I5)))),MAX(0,$L5-((BedsCurrent+BedsAdded)*ShiftHours*$F5/BedHr_N)),MAX(0,$L5*Acuity_N-(ImgBase+ImgExpOn*ImgExpAdd)),MAX(0,$L5-(LabBase+LabExpOn*LabExpAdd)))</f>
        <v>12.869862852742997</v>
      </c>
      <c r="P5" s="11">
        <f t="shared" ref="P5:P68" ca="1" si="11">M5+N5+O5</f>
        <v>70.869862852742997</v>
      </c>
      <c r="Q5" s="17">
        <f ca="1">((MIN(OTCapPct*Model!$G$24,MAX(0,(($J5*(1+0.5*Acuity_M))/(Cap_Doc*$C5*(1-$G5)))-Model!$G$24)))*OTCost_Doc)+((MIN(OTCapPct*Model!$G$6,MAX(0,(($J5)/(Cap_Nurse*$C5*(1-$H5)))-Model!$G$6)))*OTCost_Nurse)+((MIN(OTCapPct*Model!$G$15,MAX(0,(($J5)/(Cap_Tech*$C5*(1-$I5)))-Model!$G$15)))*OTCost_Tech)+((MIN(OTCapPct*Model!$G$25,MAX(0,(($K5*(1+0.5*Acuity_E))/(Cap_Doc*$C5*(1-$G5)))-Model!$G$25)))*OTCost_Doc)+((MIN(OTCapPct*Model!$G$7,MAX(0,(($K5)/(Cap_Nurse*$C5*(1-$H5)))-Model!$G$7)))*OTCost_Nurse)+((MIN(OTCapPct*Model!$G$16,MAX(0,(($K5)/(Cap_Tech*$C5*(1-$I5)))-Model!$G$16)))*OTCost_Tech)+((MIN(OTCapPct*Model!$G$26,MAX(0,(($L5*(1+0.5*Acuity_N))/(Cap_Doc*$C5*(1-$G5)))-Model!$G$26)))*OTCost_Doc)+((MIN(OTCapPct*Model!$G$8,MAX(0,(($L5)/(Cap_Nurse*$C5*(1-$H5)))-Model!$G$8)))*OTCost_Nurse)+((MIN(OTCapPct*Model!$G$17,MAX(0,(($L5)/(Cap_Tech*$C5*(1-$I5)))-Model!$G$17)))*OTCost_Tech)</f>
        <v>68125</v>
      </c>
    </row>
    <row r="6" spans="1:17" x14ac:dyDescent="0.25">
      <c r="A6" s="11">
        <v>2</v>
      </c>
      <c r="B6" s="11" t="str">
        <f t="shared" ca="1" si="0"/>
        <v>Normal</v>
      </c>
      <c r="C6" s="11">
        <f t="shared" ca="1" si="1"/>
        <v>1</v>
      </c>
      <c r="D6" s="11">
        <f t="shared" ca="1" si="2"/>
        <v>0</v>
      </c>
      <c r="E6" s="11">
        <f t="shared" ca="1" si="3"/>
        <v>3</v>
      </c>
      <c r="F6" s="36">
        <f t="shared" ca="1" si="4"/>
        <v>0.99428699158693334</v>
      </c>
      <c r="G6" s="11">
        <f t="shared" ca="1" si="5"/>
        <v>1.3274371232110296E-2</v>
      </c>
      <c r="H6" s="11">
        <f t="shared" ca="1" si="6"/>
        <v>8.6743577292047833E-2</v>
      </c>
      <c r="I6" s="11">
        <f t="shared" ca="1" si="7"/>
        <v>0</v>
      </c>
      <c r="J6" s="11">
        <f t="shared" ca="1" si="8"/>
        <v>86</v>
      </c>
      <c r="K6" s="11">
        <f t="shared" ca="1" si="9"/>
        <v>111</v>
      </c>
      <c r="L6" s="11">
        <f t="shared" ca="1" si="10"/>
        <v>73</v>
      </c>
      <c r="M6" s="11">
        <f ca="1">MAX(MAX(0,($J6*(1+0.5*Acuity_M))-(Model!$G$24*(1+OTCapPct)*(Cap_Doc*$C6*(1-$G6)))),MAX(0,($J6)-(Model!$G$6*(1+OTCapPct)*(Cap_Nurse*$C6*(1-$H6)))),MAX(0,($J6)-(Model!$G$15*(1+OTCapPct)*(Cap_Tech*$C6*(1-$I6)))),MAX(0,$J6-((BedsCurrent+BedsAdded)*ShiftHours*$F6/BedHr_M)),MAX(0,$J6*Acuity_M-(ImgBase+ImgExpOn*ImgExpAdd)),MAX(0,$J6-(LabBase+LabExpOn*LabExpAdd)))</f>
        <v>0</v>
      </c>
      <c r="N6" s="11">
        <f ca="1">MAX(MAX(0,($K6*(1+0.5*Acuity_E))-(Model!$G$25*(1+OTCapPct)*(Cap_Doc*$C6*(1-$G6)))),MAX(0,($K6)-(Model!$G$7*(1+OTCapPct)*(Cap_Nurse*$C6*(1-$H6)))),MAX(0,($K6)-(Model!$G$16*(1+OTCapPct)*(Cap_Tech*$C6*(1-$I6)))),MAX(0,$K6-((BedsCurrent+BedsAdded)*ShiftHours*$F6/BedHr_E)),MAX(0,$K6*Acuity_E-(ImgBase+ImgExpOn*ImgExpAdd)),MAX(0,$K6-(LabBase+LabExpOn*LabExpAdd)))</f>
        <v>16</v>
      </c>
      <c r="O6" s="11">
        <f ca="1">MAX(MAX(0,($L6*(1+0.5*Acuity_N))-(Model!$G$26*(1+OTCapPct)*(Cap_Doc*$C6*(1-$G6)))),MAX(0,($L6)-(Model!$G$8*(1+OTCapPct)*(Cap_Nurse*$C6*(1-$H6)))),MAX(0,($L6)-(Model!$G$17*(1+OTCapPct)*(Cap_Tech*$C6*(1-$I6)))),MAX(0,$L6-((BedsCurrent+BedsAdded)*ShiftHours*$F6/BedHr_N)),MAX(0,$L6*Acuity_N-(ImgBase+ImgExpOn*ImgExpAdd)),MAX(0,$L6-(LabBase+LabExpOn*LabExpAdd)))</f>
        <v>0</v>
      </c>
      <c r="P6" s="11">
        <f t="shared" ca="1" si="11"/>
        <v>16</v>
      </c>
      <c r="Q6" s="17">
        <f ca="1">((MIN(OTCapPct*Model!$G$24,MAX(0,(($J6*(1+0.5*Acuity_M))/(Cap_Doc*$C6*(1-$G6)))-Model!$G$24)))*OTCost_Doc)+((MIN(OTCapPct*Model!$G$6,MAX(0,(($J6)/(Cap_Nurse*$C6*(1-$H6)))-Model!$G$6)))*OTCost_Nurse)+((MIN(OTCapPct*Model!$G$15,MAX(0,(($J6)/(Cap_Tech*$C6*(1-$I6)))-Model!$G$15)))*OTCost_Tech)+((MIN(OTCapPct*Model!$G$25,MAX(0,(($K6*(1+0.5*Acuity_E))/(Cap_Doc*$C6*(1-$G6)))-Model!$G$25)))*OTCost_Doc)+((MIN(OTCapPct*Model!$G$7,MAX(0,(($K6)/(Cap_Nurse*$C6*(1-$H6)))-Model!$G$7)))*OTCost_Nurse)+((MIN(OTCapPct*Model!$G$16,MAX(0,(($K6)/(Cap_Tech*$C6*(1-$I6)))-Model!$G$16)))*OTCost_Tech)+((MIN(OTCapPct*Model!$G$26,MAX(0,(($L6*(1+0.5*Acuity_N))/(Cap_Doc*$C6*(1-$G6)))-Model!$G$26)))*OTCost_Doc)+((MIN(OTCapPct*Model!$G$8,MAX(0,(($L6)/(Cap_Nurse*$C6*(1-$H6)))-Model!$G$8)))*OTCost_Nurse)+((MIN(OTCapPct*Model!$G$17,MAX(0,(($L6)/(Cap_Tech*$C6*(1-$I6)))-Model!$G$17)))*OTCost_Tech)</f>
        <v>27190.670211243978</v>
      </c>
    </row>
    <row r="7" spans="1:17" x14ac:dyDescent="0.25">
      <c r="A7" s="11">
        <v>3</v>
      </c>
      <c r="B7" s="11" t="str">
        <f t="shared" ca="1" si="0"/>
        <v>Complex</v>
      </c>
      <c r="C7" s="11">
        <f t="shared" ca="1" si="1"/>
        <v>0.9</v>
      </c>
      <c r="D7" s="11">
        <f t="shared" ca="1" si="2"/>
        <v>0</v>
      </c>
      <c r="E7" s="11">
        <f t="shared" ca="1" si="3"/>
        <v>2</v>
      </c>
      <c r="F7" s="36">
        <f t="shared" ca="1" si="4"/>
        <v>0.9345078673764603</v>
      </c>
      <c r="G7" s="11">
        <f t="shared" ca="1" si="5"/>
        <v>6.7273506758710036E-2</v>
      </c>
      <c r="H7" s="11">
        <f t="shared" ca="1" si="6"/>
        <v>3.0041998062355343E-2</v>
      </c>
      <c r="I7" s="11">
        <f t="shared" ca="1" si="7"/>
        <v>5.0338959280054607E-3</v>
      </c>
      <c r="J7" s="11">
        <f t="shared" ca="1" si="8"/>
        <v>80</v>
      </c>
      <c r="K7" s="11">
        <f t="shared" ca="1" si="9"/>
        <v>90</v>
      </c>
      <c r="L7" s="11">
        <f t="shared" ca="1" si="10"/>
        <v>71</v>
      </c>
      <c r="M7" s="11">
        <f ca="1">MAX(MAX(0,($J7*(1+0.5*Acuity_M))-(Model!$G$24*(1+OTCapPct)*(Cap_Doc*$C7*(1-$G7)))),MAX(0,($J7)-(Model!$G$6*(1+OTCapPct)*(Cap_Nurse*$C7*(1-$H7)))),MAX(0,($J7)-(Model!$G$15*(1+OTCapPct)*(Cap_Tech*$C7*(1-$I7)))),MAX(0,$J7-((BedsCurrent+BedsAdded)*ShiftHours*$F7/BedHr_M)),MAX(0,$J7*Acuity_M-(ImgBase+ImgExpOn*ImgExpAdd)),MAX(0,$J7-(LabBase+LabExpOn*LabExpAdd)))</f>
        <v>0</v>
      </c>
      <c r="N7" s="11">
        <f ca="1">MAX(MAX(0,($K7*(1+0.5*Acuity_E))-(Model!$G$25*(1+OTCapPct)*(Cap_Doc*$C7*(1-$G7)))),MAX(0,($K7)-(Model!$G$7*(1+OTCapPct)*(Cap_Nurse*$C7*(1-$H7)))),MAX(0,($K7)-(Model!$G$16*(1+OTCapPct)*(Cap_Tech*$C7*(1-$I7)))),MAX(0,$K7-((BedsCurrent+BedsAdded)*ShiftHours*$F7/BedHr_E)),MAX(0,$K7*Acuity_E-(ImgBase+ImgExpOn*ImgExpAdd)),MAX(0,$K7-(LabBase+LabExpOn*LabExpAdd)))</f>
        <v>0</v>
      </c>
      <c r="O7" s="11">
        <f ca="1">MAX(MAX(0,($L7*(1+0.5*Acuity_N))-(Model!$G$26*(1+OTCapPct)*(Cap_Doc*$C7*(1-$G7)))),MAX(0,($L7)-(Model!$G$8*(1+OTCapPct)*(Cap_Nurse*$C7*(1-$H7)))),MAX(0,($L7)-(Model!$G$17*(1+OTCapPct)*(Cap_Tech*$C7*(1-$I7)))),MAX(0,$L7-((BedsCurrent+BedsAdded)*ShiftHours*$F7/BedHr_N)),MAX(0,$L7*Acuity_N-(ImgBase+ImgExpOn*ImgExpAdd)),MAX(0,$L7-(LabBase+LabExpOn*LabExpAdd)))</f>
        <v>6.0991540474555137</v>
      </c>
      <c r="P7" s="11">
        <f t="shared" ca="1" si="11"/>
        <v>6.0991540474555137</v>
      </c>
      <c r="Q7" s="17">
        <f ca="1">((MIN(OTCapPct*Model!$G$24,MAX(0,(($J7*(1+0.5*Acuity_M))/(Cap_Doc*$C7*(1-$G7)))-Model!$G$24)))*OTCost_Doc)+((MIN(OTCapPct*Model!$G$6,MAX(0,(($J7)/(Cap_Nurse*$C7*(1-$H7)))-Model!$G$6)))*OTCost_Nurse)+((MIN(OTCapPct*Model!$G$15,MAX(0,(($J7)/(Cap_Tech*$C7*(1-$I7)))-Model!$G$15)))*OTCost_Tech)+((MIN(OTCapPct*Model!$G$25,MAX(0,(($K7*(1+0.5*Acuity_E))/(Cap_Doc*$C7*(1-$G7)))-Model!$G$25)))*OTCost_Doc)+((MIN(OTCapPct*Model!$G$7,MAX(0,(($K7)/(Cap_Nurse*$C7*(1-$H7)))-Model!$G$7)))*OTCost_Nurse)+((MIN(OTCapPct*Model!$G$16,MAX(0,(($K7)/(Cap_Tech*$C7*(1-$I7)))-Model!$G$16)))*OTCost_Tech)+((MIN(OTCapPct*Model!$G$26,MAX(0,(($L7*(1+0.5*Acuity_N))/(Cap_Doc*$C7*(1-$G7)))-Model!$G$26)))*OTCost_Doc)+((MIN(OTCapPct*Model!$G$8,MAX(0,(($L7)/(Cap_Nurse*$C7*(1-$H7)))-Model!$G$8)))*OTCost_Nurse)+((MIN(OTCapPct*Model!$G$17,MAX(0,(($L7)/(Cap_Tech*$C7*(1-$I7)))-Model!$G$17)))*OTCost_Tech)</f>
        <v>34531.694779460289</v>
      </c>
    </row>
    <row r="8" spans="1:17" x14ac:dyDescent="0.25">
      <c r="A8" s="11">
        <v>4</v>
      </c>
      <c r="B8" s="11" t="str">
        <f t="shared" ca="1" si="0"/>
        <v>Normal</v>
      </c>
      <c r="C8" s="11">
        <f t="shared" ca="1" si="1"/>
        <v>1</v>
      </c>
      <c r="D8" s="11">
        <f t="shared" ca="1" si="2"/>
        <v>0</v>
      </c>
      <c r="E8" s="11">
        <f t="shared" ca="1" si="3"/>
        <v>2</v>
      </c>
      <c r="F8" s="36">
        <f t="shared" ca="1" si="4"/>
        <v>0.94007650121352904</v>
      </c>
      <c r="G8" s="11">
        <f t="shared" ca="1" si="5"/>
        <v>4.2270654797269491E-2</v>
      </c>
      <c r="H8" s="11">
        <f t="shared" ca="1" si="6"/>
        <v>0.15159473687541697</v>
      </c>
      <c r="I8" s="11">
        <f t="shared" ca="1" si="7"/>
        <v>0</v>
      </c>
      <c r="J8" s="11">
        <f t="shared" ca="1" si="8"/>
        <v>78</v>
      </c>
      <c r="K8" s="11">
        <f t="shared" ca="1" si="9"/>
        <v>158</v>
      </c>
      <c r="L8" s="11">
        <f t="shared" ca="1" si="10"/>
        <v>69</v>
      </c>
      <c r="M8" s="11">
        <f ca="1">MAX(MAX(0,($J8*(1+0.5*Acuity_M))-(Model!$G$24*(1+OTCapPct)*(Cap_Doc*$C8*(1-$G8)))),MAX(0,($J8)-(Model!$G$6*(1+OTCapPct)*(Cap_Nurse*$C8*(1-$H8)))),MAX(0,($J8)-(Model!$G$15*(1+OTCapPct)*(Cap_Tech*$C8*(1-$I8)))),MAX(0,$J8-((BedsCurrent+BedsAdded)*ShiftHours*$F8/BedHr_M)),MAX(0,$J8*Acuity_M-(ImgBase+ImgExpOn*ImgExpAdd)),MAX(0,$J8-(LabBase+LabExpOn*LabExpAdd)))</f>
        <v>0</v>
      </c>
      <c r="N8" s="11">
        <f ca="1">MAX(MAX(0,($K8*(1+0.5*Acuity_E))-(Model!$G$25*(1+OTCapPct)*(Cap_Doc*$C8*(1-$G8)))),MAX(0,($K8)-(Model!$G$7*(1+OTCapPct)*(Cap_Nurse*$C8*(1-$H8)))),MAX(0,($K8)-(Model!$G$16*(1+OTCapPct)*(Cap_Tech*$C8*(1-$I8)))),MAX(0,$K8-((BedsCurrent+BedsAdded)*ShiftHours*$F8/BedHr_E)),MAX(0,$K8*Acuity_E-(ImgBase+ImgExpOn*ImgExpAdd)),MAX(0,$K8-(LabBase+LabExpOn*LabExpAdd)))</f>
        <v>63</v>
      </c>
      <c r="O8" s="11">
        <f ca="1">MAX(MAX(0,($L8*(1+0.5*Acuity_N))-(Model!$G$26*(1+OTCapPct)*(Cap_Doc*$C8*(1-$G8)))),MAX(0,($L8)-(Model!$G$8*(1+OTCapPct)*(Cap_Nurse*$C8*(1-$H8)))),MAX(0,($L8)-(Model!$G$17*(1+OTCapPct)*(Cap_Tech*$C8*(1-$I8)))),MAX(0,$L8-((BedsCurrent+BedsAdded)*ShiftHours*$F8/BedHr_N)),MAX(0,$L8*Acuity_N-(ImgBase+ImgExpOn*ImgExpAdd)),MAX(0,$L8-(LabBase+LabExpOn*LabExpAdd)))</f>
        <v>0</v>
      </c>
      <c r="P8" s="11">
        <f t="shared" ca="1" si="11"/>
        <v>63</v>
      </c>
      <c r="Q8" s="17">
        <f ca="1">((MIN(OTCapPct*Model!$G$24,MAX(0,(($J8*(1+0.5*Acuity_M))/(Cap_Doc*$C8*(1-$G8)))-Model!$G$24)))*OTCost_Doc)+((MIN(OTCapPct*Model!$G$6,MAX(0,(($J8)/(Cap_Nurse*$C8*(1-$H8)))-Model!$G$6)))*OTCost_Nurse)+((MIN(OTCapPct*Model!$G$15,MAX(0,(($J8)/(Cap_Tech*$C8*(1-$I8)))-Model!$G$15)))*OTCost_Tech)+((MIN(OTCapPct*Model!$G$25,MAX(0,(($K8*(1+0.5*Acuity_E))/(Cap_Doc*$C8*(1-$G8)))-Model!$G$25)))*OTCost_Doc)+((MIN(OTCapPct*Model!$G$7,MAX(0,(($K8)/(Cap_Nurse*$C8*(1-$H8)))-Model!$G$7)))*OTCost_Nurse)+((MIN(OTCapPct*Model!$G$16,MAX(0,(($K8)/(Cap_Tech*$C8*(1-$I8)))-Model!$G$16)))*OTCost_Tech)+((MIN(OTCapPct*Model!$G$26,MAX(0,(($L8*(1+0.5*Acuity_N))/(Cap_Doc*$C8*(1-$G8)))-Model!$G$26)))*OTCost_Doc)+((MIN(OTCapPct*Model!$G$8,MAX(0,(($L8)/(Cap_Nurse*$C8*(1-$H8)))-Model!$G$8)))*OTCost_Nurse)+((MIN(OTCapPct*Model!$G$17,MAX(0,(($L8)/(Cap_Tech*$C8*(1-$I8)))-Model!$G$17)))*OTCost_Tech)</f>
        <v>62667.708546467038</v>
      </c>
    </row>
    <row r="9" spans="1:17" x14ac:dyDescent="0.25">
      <c r="A9" s="11">
        <v>5</v>
      </c>
      <c r="B9" s="11" t="str">
        <f t="shared" ca="1" si="0"/>
        <v>Complex</v>
      </c>
      <c r="C9" s="11">
        <f t="shared" ca="1" si="1"/>
        <v>0.9</v>
      </c>
      <c r="D9" s="11">
        <f t="shared" ca="1" si="2"/>
        <v>0</v>
      </c>
      <c r="E9" s="11">
        <f t="shared" ca="1" si="3"/>
        <v>3</v>
      </c>
      <c r="F9" s="36">
        <f t="shared" ca="1" si="4"/>
        <v>0.99936527256712271</v>
      </c>
      <c r="G9" s="11">
        <f t="shared" ca="1" si="5"/>
        <v>8.2469462325349685E-3</v>
      </c>
      <c r="H9" s="11">
        <f t="shared" ca="1" si="6"/>
        <v>5.0898026853265631E-2</v>
      </c>
      <c r="I9" s="11">
        <f t="shared" ca="1" si="7"/>
        <v>0.12685448429640828</v>
      </c>
      <c r="J9" s="11">
        <f t="shared" ca="1" si="8"/>
        <v>76</v>
      </c>
      <c r="K9" s="11">
        <f t="shared" ca="1" si="9"/>
        <v>121</v>
      </c>
      <c r="L9" s="11">
        <f t="shared" ca="1" si="10"/>
        <v>62</v>
      </c>
      <c r="M9" s="11">
        <f ca="1">MAX(MAX(0,($J9*(1+0.5*Acuity_M))-(Model!$G$24*(1+OTCapPct)*(Cap_Doc*$C9*(1-$G9)))),MAX(0,($J9)-(Model!$G$6*(1+OTCapPct)*(Cap_Nurse*$C9*(1-$H9)))),MAX(0,($J9)-(Model!$G$15*(1+OTCapPct)*(Cap_Tech*$C9*(1-$I9)))),MAX(0,$J9-((BedsCurrent+BedsAdded)*ShiftHours*$F9/BedHr_M)),MAX(0,$J9*Acuity_M-(ImgBase+ImgExpOn*ImgExpAdd)),MAX(0,$J9-(LabBase+LabExpOn*LabExpAdd)))</f>
        <v>0</v>
      </c>
      <c r="N9" s="11">
        <f ca="1">MAX(MAX(0,($K9*(1+0.5*Acuity_E))-(Model!$G$25*(1+OTCapPct)*(Cap_Doc*$C9*(1-$G9)))),MAX(0,($K9)-(Model!$G$7*(1+OTCapPct)*(Cap_Nurse*$C9*(1-$H9)))),MAX(0,($K9)-(Model!$G$16*(1+OTCapPct)*(Cap_Tech*$C9*(1-$I9)))),MAX(0,$K9-((BedsCurrent+BedsAdded)*ShiftHours*$F9/BedHr_E)),MAX(0,$K9*Acuity_E-(ImgBase+ImgExpOn*ImgExpAdd)),MAX(0,$K9-(LabBase+LabExpOn*LabExpAdd)))</f>
        <v>26</v>
      </c>
      <c r="O9" s="11">
        <f ca="1">MAX(MAX(0,($L9*(1+0.5*Acuity_N))-(Model!$G$26*(1+OTCapPct)*(Cap_Doc*$C9*(1-$G9)))),MAX(0,($L9)-(Model!$G$8*(1+OTCapPct)*(Cap_Nurse*$C9*(1-$H9)))),MAX(0,($L9)-(Model!$G$17*(1+OTCapPct)*(Cap_Tech*$C9*(1-$I9)))),MAX(0,$L9-((BedsCurrent+BedsAdded)*ShiftHours*$F9/BedHr_N)),MAX(0,$L9*Acuity_N-(ImgBase+ImgExpOn*ImgExpAdd)),MAX(0,$L9-(LabBase+LabExpOn*LabExpAdd)))</f>
        <v>0</v>
      </c>
      <c r="P9" s="11">
        <f t="shared" ca="1" si="11"/>
        <v>26</v>
      </c>
      <c r="Q9" s="17">
        <f ca="1">((MIN(OTCapPct*Model!$G$24,MAX(0,(($J9*(1+0.5*Acuity_M))/(Cap_Doc*$C9*(1-$G9)))-Model!$G$24)))*OTCost_Doc)+((MIN(OTCapPct*Model!$G$6,MAX(0,(($J9)/(Cap_Nurse*$C9*(1-$H9)))-Model!$G$6)))*OTCost_Nurse)+((MIN(OTCapPct*Model!$G$15,MAX(0,(($J9)/(Cap_Tech*$C9*(1-$I9)))-Model!$G$15)))*OTCost_Tech)+((MIN(OTCapPct*Model!$G$25,MAX(0,(($K9*(1+0.5*Acuity_E))/(Cap_Doc*$C9*(1-$G9)))-Model!$G$25)))*OTCost_Doc)+((MIN(OTCapPct*Model!$G$7,MAX(0,(($K9)/(Cap_Nurse*$C9*(1-$H9)))-Model!$G$7)))*OTCost_Nurse)+((MIN(OTCapPct*Model!$G$16,MAX(0,(($K9)/(Cap_Tech*$C9*(1-$I9)))-Model!$G$16)))*OTCost_Tech)+((MIN(OTCapPct*Model!$G$26,MAX(0,(($L9*(1+0.5*Acuity_N))/(Cap_Doc*$C9*(1-$G9)))-Model!$G$26)))*OTCost_Doc)+((MIN(OTCapPct*Model!$G$8,MAX(0,(($L9)/(Cap_Nurse*$C9*(1-$H9)))-Model!$G$8)))*OTCost_Nurse)+((MIN(OTCapPct*Model!$G$17,MAX(0,(($L9)/(Cap_Tech*$C9*(1-$I9)))-Model!$G$17)))*OTCost_Tech)</f>
        <v>51559.091114797848</v>
      </c>
    </row>
    <row r="10" spans="1:17" x14ac:dyDescent="0.25">
      <c r="A10" s="11">
        <v>6</v>
      </c>
      <c r="B10" s="11" t="str">
        <f t="shared" ca="1" si="0"/>
        <v>Normal</v>
      </c>
      <c r="C10" s="11">
        <f t="shared" ca="1" si="1"/>
        <v>1</v>
      </c>
      <c r="D10" s="11">
        <f t="shared" ca="1" si="2"/>
        <v>0</v>
      </c>
      <c r="E10" s="11">
        <f t="shared" ca="1" si="3"/>
        <v>3</v>
      </c>
      <c r="F10" s="36">
        <f t="shared" ca="1" si="4"/>
        <v>1.0007194460708162</v>
      </c>
      <c r="G10" s="11">
        <f t="shared" ca="1" si="5"/>
        <v>0.12398618876538858</v>
      </c>
      <c r="H10" s="11">
        <f t="shared" ca="1" si="6"/>
        <v>7.5988531865906969E-2</v>
      </c>
      <c r="I10" s="11">
        <f t="shared" ca="1" si="7"/>
        <v>1.4853496985257272E-2</v>
      </c>
      <c r="J10" s="11">
        <f t="shared" ca="1" si="8"/>
        <v>88</v>
      </c>
      <c r="K10" s="11">
        <f t="shared" ca="1" si="9"/>
        <v>112</v>
      </c>
      <c r="L10" s="11">
        <f t="shared" ca="1" si="10"/>
        <v>59</v>
      </c>
      <c r="M10" s="11">
        <f ca="1">MAX(MAX(0,($J10*(1+0.5*Acuity_M))-(Model!$G$24*(1+OTCapPct)*(Cap_Doc*$C10*(1-$G10)))),MAX(0,($J10)-(Model!$G$6*(1+OTCapPct)*(Cap_Nurse*$C10*(1-$H10)))),MAX(0,($J10)-(Model!$G$15*(1+OTCapPct)*(Cap_Tech*$C10*(1-$I10)))),MAX(0,$J10-((BedsCurrent+BedsAdded)*ShiftHours*$F10/BedHr_M)),MAX(0,$J10*Acuity_M-(ImgBase+ImgExpOn*ImgExpAdd)),MAX(0,$J10-(LabBase+LabExpOn*LabExpAdd)))</f>
        <v>0</v>
      </c>
      <c r="N10" s="11">
        <f ca="1">MAX(MAX(0,($K10*(1+0.5*Acuity_E))-(Model!$G$25*(1+OTCapPct)*(Cap_Doc*$C10*(1-$G10)))),MAX(0,($K10)-(Model!$G$7*(1+OTCapPct)*(Cap_Nurse*$C10*(1-$H10)))),MAX(0,($K10)-(Model!$G$16*(1+OTCapPct)*(Cap_Tech*$C10*(1-$I10)))),MAX(0,$K10-((BedsCurrent+BedsAdded)*ShiftHours*$F10/BedHr_E)),MAX(0,$K10*Acuity_E-(ImgBase+ImgExpOn*ImgExpAdd)),MAX(0,$K10-(LabBase+LabExpOn*LabExpAdd)))</f>
        <v>17</v>
      </c>
      <c r="O10" s="11">
        <f ca="1">MAX(MAX(0,($L10*(1+0.5*Acuity_N))-(Model!$G$26*(1+OTCapPct)*(Cap_Doc*$C10*(1-$G10)))),MAX(0,($L10)-(Model!$G$8*(1+OTCapPct)*(Cap_Nurse*$C10*(1-$H10)))),MAX(0,($L10)-(Model!$G$17*(1+OTCapPct)*(Cap_Tech*$C10*(1-$I10)))),MAX(0,$L10-((BedsCurrent+BedsAdded)*ShiftHours*$F10/BedHr_N)),MAX(0,$L10*Acuity_N-(ImgBase+ImgExpOn*ImgExpAdd)),MAX(0,$L10-(LabBase+LabExpOn*LabExpAdd)))</f>
        <v>0</v>
      </c>
      <c r="P10" s="11">
        <f t="shared" ca="1" si="11"/>
        <v>17</v>
      </c>
      <c r="Q10" s="17">
        <f ca="1">((MIN(OTCapPct*Model!$G$24,MAX(0,(($J10*(1+0.5*Acuity_M))/(Cap_Doc*$C10*(1-$G10)))-Model!$G$24)))*OTCost_Doc)+((MIN(OTCapPct*Model!$G$6,MAX(0,(($J10)/(Cap_Nurse*$C10*(1-$H10)))-Model!$G$6)))*OTCost_Nurse)+((MIN(OTCapPct*Model!$G$15,MAX(0,(($J10)/(Cap_Tech*$C10*(1-$I10)))-Model!$G$15)))*OTCost_Tech)+((MIN(OTCapPct*Model!$G$25,MAX(0,(($K10*(1+0.5*Acuity_E))/(Cap_Doc*$C10*(1-$G10)))-Model!$G$25)))*OTCost_Doc)+((MIN(OTCapPct*Model!$G$7,MAX(0,(($K10)/(Cap_Nurse*$C10*(1-$H10)))-Model!$G$7)))*OTCost_Nurse)+((MIN(OTCapPct*Model!$G$16,MAX(0,(($K10)/(Cap_Tech*$C10*(1-$I10)))-Model!$G$16)))*OTCost_Tech)+((MIN(OTCapPct*Model!$G$26,MAX(0,(($L10*(1+0.5*Acuity_N))/(Cap_Doc*$C10*(1-$G10)))-Model!$G$26)))*OTCost_Doc)+((MIN(OTCapPct*Model!$G$8,MAX(0,(($L10)/(Cap_Nurse*$C10*(1-$H10)))-Model!$G$8)))*OTCost_Nurse)+((MIN(OTCapPct*Model!$G$17,MAX(0,(($L10)/(Cap_Tech*$C10*(1-$I10)))-Model!$G$17)))*OTCost_Tech)</f>
        <v>41774.413172265187</v>
      </c>
    </row>
    <row r="11" spans="1:17" x14ac:dyDescent="0.25">
      <c r="A11" s="11">
        <v>7</v>
      </c>
      <c r="B11" s="11" t="str">
        <f t="shared" ca="1" si="0"/>
        <v>Normal</v>
      </c>
      <c r="C11" s="11">
        <f t="shared" ca="1" si="1"/>
        <v>1</v>
      </c>
      <c r="D11" s="11">
        <f t="shared" ca="1" si="2"/>
        <v>0</v>
      </c>
      <c r="E11" s="11">
        <f t="shared" ca="1" si="3"/>
        <v>3</v>
      </c>
      <c r="F11" s="36">
        <f t="shared" ca="1" si="4"/>
        <v>0.84854378943005593</v>
      </c>
      <c r="G11" s="11">
        <f t="shared" ca="1" si="5"/>
        <v>0</v>
      </c>
      <c r="H11" s="11">
        <f t="shared" ca="1" si="6"/>
        <v>0.10119671284226461</v>
      </c>
      <c r="I11" s="11">
        <f t="shared" ca="1" si="7"/>
        <v>5.5520455919059263E-2</v>
      </c>
      <c r="J11" s="11">
        <f t="shared" ca="1" si="8"/>
        <v>95</v>
      </c>
      <c r="K11" s="11">
        <f t="shared" ca="1" si="9"/>
        <v>107</v>
      </c>
      <c r="L11" s="11">
        <f t="shared" ca="1" si="10"/>
        <v>60</v>
      </c>
      <c r="M11" s="11">
        <f ca="1">MAX(MAX(0,($J11*(1+0.5*Acuity_M))-(Model!$G$24*(1+OTCapPct)*(Cap_Doc*$C11*(1-$G11)))),MAX(0,($J11)-(Model!$G$6*(1+OTCapPct)*(Cap_Nurse*$C11*(1-$H11)))),MAX(0,($J11)-(Model!$G$15*(1+OTCapPct)*(Cap_Tech*$C11*(1-$I11)))),MAX(0,$J11-((BedsCurrent+BedsAdded)*ShiftHours*$F11/BedHr_M)),MAX(0,$J11*Acuity_M-(ImgBase+ImgExpOn*ImgExpAdd)),MAX(0,$J11-(LabBase+LabExpOn*LabExpAdd)))</f>
        <v>0.62565484843779018</v>
      </c>
      <c r="N11" s="11">
        <f ca="1">MAX(MAX(0,($K11*(1+0.5*Acuity_E))-(Model!$G$25*(1+OTCapPct)*(Cap_Doc*$C11*(1-$G11)))),MAX(0,($K11)-(Model!$G$7*(1+OTCapPct)*(Cap_Nurse*$C11*(1-$H11)))),MAX(0,($K11)-(Model!$G$16*(1+OTCapPct)*(Cap_Tech*$C11*(1-$I11)))),MAX(0,$K11-((BedsCurrent+BedsAdded)*ShiftHours*$F11/BedHr_E)),MAX(0,$K11*Acuity_E-(ImgBase+ImgExpOn*ImgExpAdd)),MAX(0,$K11-(LabBase+LabExpOn*LabExpAdd)))</f>
        <v>14.678435710009907</v>
      </c>
      <c r="O11" s="11">
        <f ca="1">MAX(MAX(0,($L11*(1+0.5*Acuity_N))-(Model!$G$26*(1+OTCapPct)*(Cap_Doc*$C11*(1-$G11)))),MAX(0,($L11)-(Model!$G$8*(1+OTCapPct)*(Cap_Nurse*$C11*(1-$H11)))),MAX(0,($L11)-(Model!$G$17*(1+OTCapPct)*(Cap_Tech*$C11*(1-$I11)))),MAX(0,$L11-((BedsCurrent+BedsAdded)*ShiftHours*$F11/BedHr_N)),MAX(0,$L11*Acuity_N-(ImgBase+ImgExpOn*ImgExpAdd)),MAX(0,$L11-(LabBase+LabExpOn*LabExpAdd)))</f>
        <v>0</v>
      </c>
      <c r="P11" s="11">
        <f t="shared" ca="1" si="11"/>
        <v>15.304090558447697</v>
      </c>
      <c r="Q11" s="17">
        <f ca="1">((MIN(OTCapPct*Model!$G$24,MAX(0,(($J11*(1+0.5*Acuity_M))/(Cap_Doc*$C11*(1-$G11)))-Model!$G$24)))*OTCost_Doc)+((MIN(OTCapPct*Model!$G$6,MAX(0,(($J11)/(Cap_Nurse*$C11*(1-$H11)))-Model!$G$6)))*OTCost_Nurse)+((MIN(OTCapPct*Model!$G$15,MAX(0,(($J11)/(Cap_Tech*$C11*(1-$I11)))-Model!$G$15)))*OTCost_Tech)+((MIN(OTCapPct*Model!$G$25,MAX(0,(($K11*(1+0.5*Acuity_E))/(Cap_Doc*$C11*(1-$G11)))-Model!$G$25)))*OTCost_Doc)+((MIN(OTCapPct*Model!$G$7,MAX(0,(($K11)/(Cap_Nurse*$C11*(1-$H11)))-Model!$G$7)))*OTCost_Nurse)+((MIN(OTCapPct*Model!$G$16,MAX(0,(($K11)/(Cap_Tech*$C11*(1-$I11)))-Model!$G$16)))*OTCost_Tech)+((MIN(OTCapPct*Model!$G$26,MAX(0,(($L11*(1+0.5*Acuity_N))/(Cap_Doc*$C11*(1-$G11)))-Model!$G$26)))*OTCost_Doc)+((MIN(OTCapPct*Model!$G$8,MAX(0,(($L11)/(Cap_Nurse*$C11*(1-$H11)))-Model!$G$8)))*OTCost_Nurse)+((MIN(OTCapPct*Model!$G$17,MAX(0,(($L11)/(Cap_Tech*$C11*(1-$I11)))-Model!$G$17)))*OTCost_Tech)</f>
        <v>24726.582856596455</v>
      </c>
    </row>
    <row r="12" spans="1:17" x14ac:dyDescent="0.25">
      <c r="A12" s="11">
        <v>8</v>
      </c>
      <c r="B12" s="11" t="str">
        <f t="shared" ca="1" si="0"/>
        <v>Normal</v>
      </c>
      <c r="C12" s="11">
        <f t="shared" ca="1" si="1"/>
        <v>1</v>
      </c>
      <c r="D12" s="11">
        <f t="shared" ca="1" si="2"/>
        <v>0</v>
      </c>
      <c r="E12" s="11">
        <f t="shared" ca="1" si="3"/>
        <v>1</v>
      </c>
      <c r="F12" s="36">
        <f t="shared" ca="1" si="4"/>
        <v>0.9413600202969159</v>
      </c>
      <c r="G12" s="11">
        <f t="shared" ca="1" si="5"/>
        <v>9.2128275300240065E-2</v>
      </c>
      <c r="H12" s="11">
        <f t="shared" ca="1" si="6"/>
        <v>9.1207682224030487E-2</v>
      </c>
      <c r="I12" s="11">
        <f t="shared" ca="1" si="7"/>
        <v>8.2686460933287909E-2</v>
      </c>
      <c r="J12" s="11">
        <f t="shared" ca="1" si="8"/>
        <v>81</v>
      </c>
      <c r="K12" s="11">
        <f t="shared" ca="1" si="9"/>
        <v>100</v>
      </c>
      <c r="L12" s="11">
        <f t="shared" ca="1" si="10"/>
        <v>68</v>
      </c>
      <c r="M12" s="11">
        <f ca="1">MAX(MAX(0,($J12*(1+0.5*Acuity_M))-(Model!$G$24*(1+OTCapPct)*(Cap_Doc*$C12*(1-$G12)))),MAX(0,($J12)-(Model!$G$6*(1+OTCapPct)*(Cap_Nurse*$C12*(1-$H12)))),MAX(0,($J12)-(Model!$G$15*(1+OTCapPct)*(Cap_Tech*$C12*(1-$I12)))),MAX(0,$J12-((BedsCurrent+BedsAdded)*ShiftHours*$F12/BedHr_M)),MAX(0,$J12*Acuity_M-(ImgBase+ImgExpOn*ImgExpAdd)),MAX(0,$J12-(LabBase+LabExpOn*LabExpAdd)))</f>
        <v>0</v>
      </c>
      <c r="N12" s="11">
        <f ca="1">MAX(MAX(0,($K12*(1+0.5*Acuity_E))-(Model!$G$25*(1+OTCapPct)*(Cap_Doc*$C12*(1-$G12)))),MAX(0,($K12)-(Model!$G$7*(1+OTCapPct)*(Cap_Nurse*$C12*(1-$H12)))),MAX(0,($K12)-(Model!$G$16*(1+OTCapPct)*(Cap_Tech*$C12*(1-$I12)))),MAX(0,$K12-((BedsCurrent+BedsAdded)*ShiftHours*$F12/BedHr_E)),MAX(0,$K12*Acuity_E-(ImgBase+ImgExpOn*ImgExpAdd)),MAX(0,$K12-(LabBase+LabExpOn*LabExpAdd)))</f>
        <v>5</v>
      </c>
      <c r="O12" s="11">
        <f ca="1">MAX(MAX(0,($L12*(1+0.5*Acuity_N))-(Model!$G$26*(1+OTCapPct)*(Cap_Doc*$C12*(1-$G12)))),MAX(0,($L12)-(Model!$G$8*(1+OTCapPct)*(Cap_Nurse*$C12*(1-$H12)))),MAX(0,($L12)-(Model!$G$17*(1+OTCapPct)*(Cap_Tech*$C12*(1-$I12)))),MAX(0,$L12-((BedsCurrent+BedsAdded)*ShiftHours*$F12/BedHr_N)),MAX(0,$L12*Acuity_N-(ImgBase+ImgExpOn*ImgExpAdd)),MAX(0,$L12-(LabBase+LabExpOn*LabExpAdd)))</f>
        <v>0</v>
      </c>
      <c r="P12" s="11">
        <f t="shared" ca="1" si="11"/>
        <v>5</v>
      </c>
      <c r="Q12" s="17">
        <f ca="1">((MIN(OTCapPct*Model!$G$24,MAX(0,(($J12*(1+0.5*Acuity_M))/(Cap_Doc*$C12*(1-$G12)))-Model!$G$24)))*OTCost_Doc)+((MIN(OTCapPct*Model!$G$6,MAX(0,(($J12)/(Cap_Nurse*$C12*(1-$H12)))-Model!$G$6)))*OTCost_Nurse)+((MIN(OTCapPct*Model!$G$15,MAX(0,(($J12)/(Cap_Tech*$C12*(1-$I12)))-Model!$G$15)))*OTCost_Tech)+((MIN(OTCapPct*Model!$G$25,MAX(0,(($K12*(1+0.5*Acuity_E))/(Cap_Doc*$C12*(1-$G12)))-Model!$G$25)))*OTCost_Doc)+((MIN(OTCapPct*Model!$G$7,MAX(0,(($K12)/(Cap_Nurse*$C12*(1-$H12)))-Model!$G$7)))*OTCost_Nurse)+((MIN(OTCapPct*Model!$G$16,MAX(0,(($K12)/(Cap_Tech*$C12*(1-$I12)))-Model!$G$16)))*OTCost_Tech)+((MIN(OTCapPct*Model!$G$26,MAX(0,(($L12*(1+0.5*Acuity_N))/(Cap_Doc*$C12*(1-$G12)))-Model!$G$26)))*OTCost_Doc)+((MIN(OTCapPct*Model!$G$8,MAX(0,(($L12)/(Cap_Nurse*$C12*(1-$H12)))-Model!$G$8)))*OTCost_Nurse)+((MIN(OTCapPct*Model!$G$17,MAX(0,(($L12)/(Cap_Tech*$C12*(1-$I12)))-Model!$G$17)))*OTCost_Tech)</f>
        <v>21685.334139734918</v>
      </c>
    </row>
    <row r="13" spans="1:17" x14ac:dyDescent="0.25">
      <c r="A13" s="11">
        <v>9</v>
      </c>
      <c r="B13" s="11" t="str">
        <f t="shared" ca="1" si="0"/>
        <v>Normal</v>
      </c>
      <c r="C13" s="11">
        <f t="shared" ca="1" si="1"/>
        <v>1</v>
      </c>
      <c r="D13" s="11">
        <f t="shared" ca="1" si="2"/>
        <v>0</v>
      </c>
      <c r="E13" s="11">
        <f t="shared" ca="1" si="3"/>
        <v>3</v>
      </c>
      <c r="F13" s="36">
        <f t="shared" ca="1" si="4"/>
        <v>0.88256788947485354</v>
      </c>
      <c r="G13" s="11">
        <f t="shared" ca="1" si="5"/>
        <v>2.1581746282591654E-2</v>
      </c>
      <c r="H13" s="11">
        <f t="shared" ca="1" si="6"/>
        <v>6.4709353821726323E-2</v>
      </c>
      <c r="I13" s="11">
        <f t="shared" ca="1" si="7"/>
        <v>1.6668082942563611E-2</v>
      </c>
      <c r="J13" s="11">
        <f t="shared" ca="1" si="8"/>
        <v>72</v>
      </c>
      <c r="K13" s="11">
        <f t="shared" ca="1" si="9"/>
        <v>112</v>
      </c>
      <c r="L13" s="11">
        <f t="shared" ca="1" si="10"/>
        <v>74</v>
      </c>
      <c r="M13" s="11">
        <f ca="1">MAX(MAX(0,($J13*(1+0.5*Acuity_M))-(Model!$G$24*(1+OTCapPct)*(Cap_Doc*$C13*(1-$G13)))),MAX(0,($J13)-(Model!$G$6*(1+OTCapPct)*(Cap_Nurse*$C13*(1-$H13)))),MAX(0,($J13)-(Model!$G$15*(1+OTCapPct)*(Cap_Tech*$C13*(1-$I13)))),MAX(0,$J13-((BedsCurrent+BedsAdded)*ShiftHours*$F13/BedHr_M)),MAX(0,$J13*Acuity_M-(ImgBase+ImgExpOn*ImgExpAdd)),MAX(0,$J13-(LabBase+LabExpOn*LabExpAdd)))</f>
        <v>0</v>
      </c>
      <c r="N13" s="11">
        <f ca="1">MAX(MAX(0,($K13*(1+0.5*Acuity_E))-(Model!$G$25*(1+OTCapPct)*(Cap_Doc*$C13*(1-$G13)))),MAX(0,($K13)-(Model!$G$7*(1+OTCapPct)*(Cap_Nurse*$C13*(1-$H13)))),MAX(0,($K13)-(Model!$G$16*(1+OTCapPct)*(Cap_Tech*$C13*(1-$I13)))),MAX(0,$K13-((BedsCurrent+BedsAdded)*ShiftHours*$F13/BedHr_E)),MAX(0,$K13*Acuity_E-(ImgBase+ImgExpOn*ImgExpAdd)),MAX(0,$K13-(LabBase+LabExpOn*LabExpAdd)))</f>
        <v>17</v>
      </c>
      <c r="O13" s="11">
        <f ca="1">MAX(MAX(0,($L13*(1+0.5*Acuity_N))-(Model!$G$26*(1+OTCapPct)*(Cap_Doc*$C13*(1-$G13)))),MAX(0,($L13)-(Model!$G$8*(1+OTCapPct)*(Cap_Nurse*$C13*(1-$H13)))),MAX(0,($L13)-(Model!$G$17*(1+OTCapPct)*(Cap_Tech*$C13*(1-$I13)))),MAX(0,$L13-((BedsCurrent+BedsAdded)*ShiftHours*$F13/BedHr_N)),MAX(0,$L13*Acuity_N-(ImgBase+ImgExpOn*ImgExpAdd)),MAX(0,$L13-(LabBase+LabExpOn*LabExpAdd)))</f>
        <v>0</v>
      </c>
      <c r="P13" s="11">
        <f t="shared" ca="1" si="11"/>
        <v>17</v>
      </c>
      <c r="Q13" s="17">
        <f ca="1">((MIN(OTCapPct*Model!$G$24,MAX(0,(($J13*(1+0.5*Acuity_M))/(Cap_Doc*$C13*(1-$G13)))-Model!$G$24)))*OTCost_Doc)+((MIN(OTCapPct*Model!$G$6,MAX(0,(($J13)/(Cap_Nurse*$C13*(1-$H13)))-Model!$G$6)))*OTCost_Nurse)+((MIN(OTCapPct*Model!$G$15,MAX(0,(($J13)/(Cap_Tech*$C13*(1-$I13)))-Model!$G$15)))*OTCost_Tech)+((MIN(OTCapPct*Model!$G$25,MAX(0,(($K13*(1+0.5*Acuity_E))/(Cap_Doc*$C13*(1-$G13)))-Model!$G$25)))*OTCost_Doc)+((MIN(OTCapPct*Model!$G$7,MAX(0,(($K13)/(Cap_Nurse*$C13*(1-$H13)))-Model!$G$7)))*OTCost_Nurse)+((MIN(OTCapPct*Model!$G$16,MAX(0,(($K13)/(Cap_Tech*$C13*(1-$I13)))-Model!$G$16)))*OTCost_Tech)+((MIN(OTCapPct*Model!$G$26,MAX(0,(($L13*(1+0.5*Acuity_N))/(Cap_Doc*$C13*(1-$G13)))-Model!$G$26)))*OTCost_Doc)+((MIN(OTCapPct*Model!$G$8,MAX(0,(($L13)/(Cap_Nurse*$C13*(1-$H13)))-Model!$G$8)))*OTCost_Nurse)+((MIN(OTCapPct*Model!$G$17,MAX(0,(($L13)/(Cap_Tech*$C13*(1-$I13)))-Model!$G$17)))*OTCost_Tech)</f>
        <v>18461.64592645739</v>
      </c>
    </row>
    <row r="14" spans="1:17" x14ac:dyDescent="0.25">
      <c r="A14" s="11">
        <v>10</v>
      </c>
      <c r="B14" s="11" t="str">
        <f t="shared" ca="1" si="0"/>
        <v>Normal</v>
      </c>
      <c r="C14" s="11">
        <f t="shared" ca="1" si="1"/>
        <v>1</v>
      </c>
      <c r="D14" s="11">
        <f t="shared" ca="1" si="2"/>
        <v>0</v>
      </c>
      <c r="E14" s="11">
        <f t="shared" ca="1" si="3"/>
        <v>2</v>
      </c>
      <c r="F14" s="36">
        <f t="shared" ca="1" si="4"/>
        <v>0.9576905224036264</v>
      </c>
      <c r="G14" s="11">
        <f t="shared" ca="1" si="5"/>
        <v>0</v>
      </c>
      <c r="H14" s="11">
        <f t="shared" ca="1" si="6"/>
        <v>0</v>
      </c>
      <c r="I14" s="11">
        <f t="shared" ca="1" si="7"/>
        <v>0</v>
      </c>
      <c r="J14" s="11">
        <f t="shared" ca="1" si="8"/>
        <v>81</v>
      </c>
      <c r="K14" s="11">
        <f t="shared" ca="1" si="9"/>
        <v>125</v>
      </c>
      <c r="L14" s="11">
        <f t="shared" ca="1" si="10"/>
        <v>76</v>
      </c>
      <c r="M14" s="11">
        <f ca="1">MAX(MAX(0,($J14*(1+0.5*Acuity_M))-(Model!$G$24*(1+OTCapPct)*(Cap_Doc*$C14*(1-$G14)))),MAX(0,($J14)-(Model!$G$6*(1+OTCapPct)*(Cap_Nurse*$C14*(1-$H14)))),MAX(0,($J14)-(Model!$G$15*(1+OTCapPct)*(Cap_Tech*$C14*(1-$I14)))),MAX(0,$J14-((BedsCurrent+BedsAdded)*ShiftHours*$F14/BedHr_M)),MAX(0,$J14*Acuity_M-(ImgBase+ImgExpOn*ImgExpAdd)),MAX(0,$J14-(LabBase+LabExpOn*LabExpAdd)))</f>
        <v>0</v>
      </c>
      <c r="N14" s="11">
        <f ca="1">MAX(MAX(0,($K14*(1+0.5*Acuity_E))-(Model!$G$25*(1+OTCapPct)*(Cap_Doc*$C14*(1-$G14)))),MAX(0,($K14)-(Model!$G$7*(1+OTCapPct)*(Cap_Nurse*$C14*(1-$H14)))),MAX(0,($K14)-(Model!$G$16*(1+OTCapPct)*(Cap_Tech*$C14*(1-$I14)))),MAX(0,$K14-((BedsCurrent+BedsAdded)*ShiftHours*$F14/BedHr_E)),MAX(0,$K14*Acuity_E-(ImgBase+ImgExpOn*ImgExpAdd)),MAX(0,$K14-(LabBase+LabExpOn*LabExpAdd)))</f>
        <v>30</v>
      </c>
      <c r="O14" s="11">
        <f ca="1">MAX(MAX(0,($L14*(1+0.5*Acuity_N))-(Model!$G$26*(1+OTCapPct)*(Cap_Doc*$C14*(1-$G14)))),MAX(0,($L14)-(Model!$G$8*(1+OTCapPct)*(Cap_Nurse*$C14*(1-$H14)))),MAX(0,($L14)-(Model!$G$17*(1+OTCapPct)*(Cap_Tech*$C14*(1-$I14)))),MAX(0,$L14-((BedsCurrent+BedsAdded)*ShiftHours*$F14/BedHr_N)),MAX(0,$L14*Acuity_N-(ImgBase+ImgExpOn*ImgExpAdd)),MAX(0,$L14-(LabBase+LabExpOn*LabExpAdd)))</f>
        <v>0</v>
      </c>
      <c r="P14" s="11">
        <f t="shared" ca="1" si="11"/>
        <v>30</v>
      </c>
      <c r="Q14" s="17">
        <f ca="1">((MIN(OTCapPct*Model!$G$24,MAX(0,(($J14*(1+0.5*Acuity_M))/(Cap_Doc*$C14*(1-$G14)))-Model!$G$24)))*OTCost_Doc)+((MIN(OTCapPct*Model!$G$6,MAX(0,(($J14)/(Cap_Nurse*$C14*(1-$H14)))-Model!$G$6)))*OTCost_Nurse)+((MIN(OTCapPct*Model!$G$15,MAX(0,(($J14)/(Cap_Tech*$C14*(1-$I14)))-Model!$G$15)))*OTCost_Tech)+((MIN(OTCapPct*Model!$G$25,MAX(0,(($K14*(1+0.5*Acuity_E))/(Cap_Doc*$C14*(1-$G14)))-Model!$G$25)))*OTCost_Doc)+((MIN(OTCapPct*Model!$G$7,MAX(0,(($K14)/(Cap_Nurse*$C14*(1-$H14)))-Model!$G$7)))*OTCost_Nurse)+((MIN(OTCapPct*Model!$G$16,MAX(0,(($K14)/(Cap_Tech*$C14*(1-$I14)))-Model!$G$16)))*OTCost_Tech)+((MIN(OTCapPct*Model!$G$26,MAX(0,(($L14*(1+0.5*Acuity_N))/(Cap_Doc*$C14*(1-$G14)))-Model!$G$26)))*OTCost_Doc)+((MIN(OTCapPct*Model!$G$8,MAX(0,(($L14)/(Cap_Nurse*$C14*(1-$H14)))-Model!$G$8)))*OTCost_Nurse)+((MIN(OTCapPct*Model!$G$17,MAX(0,(($L14)/(Cap_Tech*$C14*(1-$I14)))-Model!$G$17)))*OTCost_Tech)</f>
        <v>29633.333333333343</v>
      </c>
    </row>
    <row r="15" spans="1:17" x14ac:dyDescent="0.25">
      <c r="A15" s="11">
        <v>11</v>
      </c>
      <c r="B15" s="11" t="str">
        <f t="shared" ca="1" si="0"/>
        <v>Complex</v>
      </c>
      <c r="C15" s="11">
        <f t="shared" ca="1" si="1"/>
        <v>0.9</v>
      </c>
      <c r="D15" s="11">
        <f t="shared" ca="1" si="2"/>
        <v>0</v>
      </c>
      <c r="E15" s="11">
        <f t="shared" ca="1" si="3"/>
        <v>3</v>
      </c>
      <c r="F15" s="36">
        <f t="shared" ca="1" si="4"/>
        <v>0.90755643344257042</v>
      </c>
      <c r="G15" s="11">
        <f t="shared" ca="1" si="5"/>
        <v>7.2134023694924609E-2</v>
      </c>
      <c r="H15" s="11">
        <f t="shared" ca="1" si="6"/>
        <v>0.11035959832420791</v>
      </c>
      <c r="I15" s="11">
        <f t="shared" ca="1" si="7"/>
        <v>0.16615034983239163</v>
      </c>
      <c r="J15" s="11">
        <f t="shared" ca="1" si="8"/>
        <v>77</v>
      </c>
      <c r="K15" s="11">
        <f t="shared" ca="1" si="9"/>
        <v>105</v>
      </c>
      <c r="L15" s="11">
        <f t="shared" ca="1" si="10"/>
        <v>59</v>
      </c>
      <c r="M15" s="11">
        <f ca="1">MAX(MAX(0,($J15*(1+0.5*Acuity_M))-(Model!$G$24*(1+OTCapPct)*(Cap_Doc*$C15*(1-$G15)))),MAX(0,($J15)-(Model!$G$6*(1+OTCapPct)*(Cap_Nurse*$C15*(1-$H15)))),MAX(0,($J15)-(Model!$G$15*(1+OTCapPct)*(Cap_Tech*$C15*(1-$I15)))),MAX(0,$J15-((BedsCurrent+BedsAdded)*ShiftHours*$F15/BedHr_M)),MAX(0,$J15*Acuity_M-(ImgBase+ImgExpOn*ImgExpAdd)),MAX(0,$J15-(LabBase+LabExpOn*LabExpAdd)))</f>
        <v>0</v>
      </c>
      <c r="N15" s="11">
        <f ca="1">MAX(MAX(0,($K15*(1+0.5*Acuity_E))-(Model!$G$25*(1+OTCapPct)*(Cap_Doc*$C15*(1-$G15)))),MAX(0,($K15)-(Model!$G$7*(1+OTCapPct)*(Cap_Nurse*$C15*(1-$H15)))),MAX(0,($K15)-(Model!$G$16*(1+OTCapPct)*(Cap_Tech*$C15*(1-$I15)))),MAX(0,$K15-((BedsCurrent+BedsAdded)*ShiftHours*$F15/BedHr_E)),MAX(0,$K15*Acuity_E-(ImgBase+ImgExpOn*ImgExpAdd)),MAX(0,$K15-(LabBase+LabExpOn*LabExpAdd)))</f>
        <v>10</v>
      </c>
      <c r="O15" s="11">
        <f ca="1">MAX(MAX(0,($L15*(1+0.5*Acuity_N))-(Model!$G$26*(1+OTCapPct)*(Cap_Doc*$C15*(1-$G15)))),MAX(0,($L15)-(Model!$G$8*(1+OTCapPct)*(Cap_Nurse*$C15*(1-$H15)))),MAX(0,($L15)-(Model!$G$17*(1+OTCapPct)*(Cap_Tech*$C15*(1-$I15)))),MAX(0,$L15-((BedsCurrent+BedsAdded)*ShiftHours*$F15/BedHr_N)),MAX(0,$L15*Acuity_N-(ImgBase+ImgExpOn*ImgExpAdd)),MAX(0,$L15-(LabBase+LabExpOn*LabExpAdd)))</f>
        <v>0</v>
      </c>
      <c r="P15" s="11">
        <f t="shared" ca="1" si="11"/>
        <v>10</v>
      </c>
      <c r="Q15" s="17">
        <f ca="1">((MIN(OTCapPct*Model!$G$24,MAX(0,(($J15*(1+0.5*Acuity_M))/(Cap_Doc*$C15*(1-$G15)))-Model!$G$24)))*OTCost_Doc)+((MIN(OTCapPct*Model!$G$6,MAX(0,(($J15)/(Cap_Nurse*$C15*(1-$H15)))-Model!$G$6)))*OTCost_Nurse)+((MIN(OTCapPct*Model!$G$15,MAX(0,(($J15)/(Cap_Tech*$C15*(1-$I15)))-Model!$G$15)))*OTCost_Tech)+((MIN(OTCapPct*Model!$G$25,MAX(0,(($K15*(1+0.5*Acuity_E))/(Cap_Doc*$C15*(1-$G15)))-Model!$G$25)))*OTCost_Doc)+((MIN(OTCapPct*Model!$G$7,MAX(0,(($K15)/(Cap_Nurse*$C15*(1-$H15)))-Model!$G$7)))*OTCost_Nurse)+((MIN(OTCapPct*Model!$G$16,MAX(0,(($K15)/(Cap_Tech*$C15*(1-$I15)))-Model!$G$16)))*OTCost_Tech)+((MIN(OTCapPct*Model!$G$26,MAX(0,(($L15*(1+0.5*Acuity_N))/(Cap_Doc*$C15*(1-$G15)))-Model!$G$26)))*OTCost_Doc)+((MIN(OTCapPct*Model!$G$8,MAX(0,(($L15)/(Cap_Nurse*$C15*(1-$H15)))-Model!$G$8)))*OTCost_Nurse)+((MIN(OTCapPct*Model!$G$17,MAX(0,(($L15)/(Cap_Tech*$C15*(1-$I15)))-Model!$G$17)))*OTCost_Tech)</f>
        <v>48162.877628766189</v>
      </c>
    </row>
    <row r="16" spans="1:17" x14ac:dyDescent="0.25">
      <c r="A16" s="11">
        <v>12</v>
      </c>
      <c r="B16" s="11" t="str">
        <f t="shared" ca="1" si="0"/>
        <v>Severe</v>
      </c>
      <c r="C16" s="11">
        <f t="shared" ca="1" si="1"/>
        <v>0.8</v>
      </c>
      <c r="D16" s="11">
        <f t="shared" ca="1" si="2"/>
        <v>0</v>
      </c>
      <c r="E16" s="11">
        <f t="shared" ca="1" si="3"/>
        <v>2</v>
      </c>
      <c r="F16" s="36">
        <f t="shared" ca="1" si="4"/>
        <v>1.0456523244037839</v>
      </c>
      <c r="G16" s="11">
        <f t="shared" ca="1" si="5"/>
        <v>4.7208106065490682E-2</v>
      </c>
      <c r="H16" s="11">
        <f t="shared" ca="1" si="6"/>
        <v>0.10072887396714178</v>
      </c>
      <c r="I16" s="11">
        <f t="shared" ca="1" si="7"/>
        <v>8.9546128808845576E-2</v>
      </c>
      <c r="J16" s="11">
        <f t="shared" ca="1" si="8"/>
        <v>99</v>
      </c>
      <c r="K16" s="11">
        <f t="shared" ca="1" si="9"/>
        <v>127</v>
      </c>
      <c r="L16" s="11">
        <f t="shared" ca="1" si="10"/>
        <v>58</v>
      </c>
      <c r="M16" s="11">
        <f ca="1">MAX(MAX(0,($J16*(1+0.5*Acuity_M))-(Model!$G$24*(1+OTCapPct)*(Cap_Doc*$C16*(1-$G16)))),MAX(0,($J16)-(Model!$G$6*(1+OTCapPct)*(Cap_Nurse*$C16*(1-$H16)))),MAX(0,($J16)-(Model!$G$15*(1+OTCapPct)*(Cap_Tech*$C16*(1-$I16)))),MAX(0,$J16-((BedsCurrent+BedsAdded)*ShiftHours*$F16/BedHr_M)),MAX(0,$J16*Acuity_M-(ImgBase+ImgExpOn*ImgExpAdd)),MAX(0,$J16-(LabBase+LabExpOn*LabExpAdd)))</f>
        <v>24.138729545894165</v>
      </c>
      <c r="N16" s="11">
        <f ca="1">MAX(MAX(0,($K16*(1+0.5*Acuity_E))-(Model!$G$25*(1+OTCapPct)*(Cap_Doc*$C16*(1-$G16)))),MAX(0,($K16)-(Model!$G$7*(1+OTCapPct)*(Cap_Nurse*$C16*(1-$H16)))),MAX(0,($K16)-(Model!$G$16*(1+OTCapPct)*(Cap_Tech*$C16*(1-$I16)))),MAX(0,$K16-((BedsCurrent+BedsAdded)*ShiftHours*$F16/BedHr_E)),MAX(0,$K16*Acuity_E-(ImgBase+ImgExpOn*ImgExpAdd)),MAX(0,$K16-(LabBase+LabExpOn*LabExpAdd)))</f>
        <v>32</v>
      </c>
      <c r="O16" s="11">
        <f ca="1">MAX(MAX(0,($L16*(1+0.5*Acuity_N))-(Model!$G$26*(1+OTCapPct)*(Cap_Doc*$C16*(1-$G16)))),MAX(0,($L16)-(Model!$G$8*(1+OTCapPct)*(Cap_Nurse*$C16*(1-$H16)))),MAX(0,($L16)-(Model!$G$17*(1+OTCapPct)*(Cap_Tech*$C16*(1-$I16)))),MAX(0,$L16-((BedsCurrent+BedsAdded)*ShiftHours*$F16/BedHr_N)),MAX(0,$L16*Acuity_N-(ImgBase+ImgExpOn*ImgExpAdd)),MAX(0,$L16-(LabBase+LabExpOn*LabExpAdd)))</f>
        <v>0</v>
      </c>
      <c r="P16" s="11">
        <f t="shared" ca="1" si="11"/>
        <v>56.138729545894165</v>
      </c>
      <c r="Q16" s="17">
        <f ca="1">((MIN(OTCapPct*Model!$G$24,MAX(0,(($J16*(1+0.5*Acuity_M))/(Cap_Doc*$C16*(1-$G16)))-Model!$G$24)))*OTCost_Doc)+((MIN(OTCapPct*Model!$G$6,MAX(0,(($J16)/(Cap_Nurse*$C16*(1-$H16)))-Model!$G$6)))*OTCost_Nurse)+((MIN(OTCapPct*Model!$G$15,MAX(0,(($J16)/(Cap_Tech*$C16*(1-$I16)))-Model!$G$15)))*OTCost_Tech)+((MIN(OTCapPct*Model!$G$25,MAX(0,(($K16*(1+0.5*Acuity_E))/(Cap_Doc*$C16*(1-$G16)))-Model!$G$25)))*OTCost_Doc)+((MIN(OTCapPct*Model!$G$7,MAX(0,(($K16)/(Cap_Nurse*$C16*(1-$H16)))-Model!$G$7)))*OTCost_Nurse)+((MIN(OTCapPct*Model!$G$16,MAX(0,(($K16)/(Cap_Tech*$C16*(1-$I16)))-Model!$G$16)))*OTCost_Tech)+((MIN(OTCapPct*Model!$G$26,MAX(0,(($L16*(1+0.5*Acuity_N))/(Cap_Doc*$C16*(1-$G16)))-Model!$G$26)))*OTCost_Doc)+((MIN(OTCapPct*Model!$G$8,MAX(0,(($L16)/(Cap_Nurse*$C16*(1-$H16)))-Model!$G$8)))*OTCost_Nurse)+((MIN(OTCapPct*Model!$G$17,MAX(0,(($L16)/(Cap_Tech*$C16*(1-$I16)))-Model!$G$17)))*OTCost_Tech)</f>
        <v>93174.119660018987</v>
      </c>
    </row>
    <row r="17" spans="1:17" x14ac:dyDescent="0.25">
      <c r="A17" s="11">
        <v>13</v>
      </c>
      <c r="B17" s="11" t="str">
        <f t="shared" ca="1" si="0"/>
        <v>Normal</v>
      </c>
      <c r="C17" s="11">
        <f t="shared" ca="1" si="1"/>
        <v>1</v>
      </c>
      <c r="D17" s="11">
        <f t="shared" ca="1" si="2"/>
        <v>0</v>
      </c>
      <c r="E17" s="11">
        <f t="shared" ca="1" si="3"/>
        <v>1</v>
      </c>
      <c r="F17" s="36">
        <f t="shared" ca="1" si="4"/>
        <v>1.0341377058342922</v>
      </c>
      <c r="G17" s="11">
        <f t="shared" ca="1" si="5"/>
        <v>9.3859071743687406E-2</v>
      </c>
      <c r="H17" s="11">
        <f t="shared" ca="1" si="6"/>
        <v>5.7229771255638683E-2</v>
      </c>
      <c r="I17" s="11">
        <f t="shared" ca="1" si="7"/>
        <v>5.4172779824400691E-2</v>
      </c>
      <c r="J17" s="11">
        <f t="shared" ca="1" si="8"/>
        <v>71</v>
      </c>
      <c r="K17" s="11">
        <f t="shared" ca="1" si="9"/>
        <v>122</v>
      </c>
      <c r="L17" s="11">
        <f t="shared" ca="1" si="10"/>
        <v>69</v>
      </c>
      <c r="M17" s="11">
        <f ca="1">MAX(MAX(0,($J17*(1+0.5*Acuity_M))-(Model!$G$24*(1+OTCapPct)*(Cap_Doc*$C17*(1-$G17)))),MAX(0,($J17)-(Model!$G$6*(1+OTCapPct)*(Cap_Nurse*$C17*(1-$H17)))),MAX(0,($J17)-(Model!$G$15*(1+OTCapPct)*(Cap_Tech*$C17*(1-$I17)))),MAX(0,$J17-((BedsCurrent+BedsAdded)*ShiftHours*$F17/BedHr_M)),MAX(0,$J17*Acuity_M-(ImgBase+ImgExpOn*ImgExpAdd)),MAX(0,$J17-(LabBase+LabExpOn*LabExpAdd)))</f>
        <v>0</v>
      </c>
      <c r="N17" s="11">
        <f ca="1">MAX(MAX(0,($K17*(1+0.5*Acuity_E))-(Model!$G$25*(1+OTCapPct)*(Cap_Doc*$C17*(1-$G17)))),MAX(0,($K17)-(Model!$G$7*(1+OTCapPct)*(Cap_Nurse*$C17*(1-$H17)))),MAX(0,($K17)-(Model!$G$16*(1+OTCapPct)*(Cap_Tech*$C17*(1-$I17)))),MAX(0,$K17-((BedsCurrent+BedsAdded)*ShiftHours*$F17/BedHr_E)),MAX(0,$K17*Acuity_E-(ImgBase+ImgExpOn*ImgExpAdd)),MAX(0,$K17-(LabBase+LabExpOn*LabExpAdd)))</f>
        <v>27</v>
      </c>
      <c r="O17" s="11">
        <f ca="1">MAX(MAX(0,($L17*(1+0.5*Acuity_N))-(Model!$G$26*(1+OTCapPct)*(Cap_Doc*$C17*(1-$G17)))),MAX(0,($L17)-(Model!$G$8*(1+OTCapPct)*(Cap_Nurse*$C17*(1-$H17)))),MAX(0,($L17)-(Model!$G$17*(1+OTCapPct)*(Cap_Tech*$C17*(1-$I17)))),MAX(0,$L17-((BedsCurrent+BedsAdded)*ShiftHours*$F17/BedHr_N)),MAX(0,$L17*Acuity_N-(ImgBase+ImgExpOn*ImgExpAdd)),MAX(0,$L17-(LabBase+LabExpOn*LabExpAdd)))</f>
        <v>0</v>
      </c>
      <c r="P17" s="11">
        <f t="shared" ca="1" si="11"/>
        <v>27</v>
      </c>
      <c r="Q17" s="17">
        <f ca="1">((MIN(OTCapPct*Model!$G$24,MAX(0,(($J17*(1+0.5*Acuity_M))/(Cap_Doc*$C17*(1-$G17)))-Model!$G$24)))*OTCost_Doc)+((MIN(OTCapPct*Model!$G$6,MAX(0,(($J17)/(Cap_Nurse*$C17*(1-$H17)))-Model!$G$6)))*OTCost_Nurse)+((MIN(OTCapPct*Model!$G$15,MAX(0,(($J17)/(Cap_Tech*$C17*(1-$I17)))-Model!$G$15)))*OTCost_Tech)+((MIN(OTCapPct*Model!$G$25,MAX(0,(($K17*(1+0.5*Acuity_E))/(Cap_Doc*$C17*(1-$G17)))-Model!$G$25)))*OTCost_Doc)+((MIN(OTCapPct*Model!$G$7,MAX(0,(($K17)/(Cap_Nurse*$C17*(1-$H17)))-Model!$G$7)))*OTCost_Nurse)+((MIN(OTCapPct*Model!$G$16,MAX(0,(($K17)/(Cap_Tech*$C17*(1-$I17)))-Model!$G$16)))*OTCost_Tech)+((MIN(OTCapPct*Model!$G$26,MAX(0,(($L17*(1+0.5*Acuity_N))/(Cap_Doc*$C17*(1-$G17)))-Model!$G$26)))*OTCost_Doc)+((MIN(OTCapPct*Model!$G$8,MAX(0,(($L17)/(Cap_Nurse*$C17*(1-$H17)))-Model!$G$8)))*OTCost_Nurse)+((MIN(OTCapPct*Model!$G$17,MAX(0,(($L17)/(Cap_Tech*$C17*(1-$I17)))-Model!$G$17)))*OTCost_Tech)</f>
        <v>39528.001873239264</v>
      </c>
    </row>
    <row r="18" spans="1:17" x14ac:dyDescent="0.25">
      <c r="A18" s="11">
        <v>14</v>
      </c>
      <c r="B18" s="11" t="str">
        <f t="shared" ca="1" si="0"/>
        <v>Complex</v>
      </c>
      <c r="C18" s="11">
        <f t="shared" ca="1" si="1"/>
        <v>0.9</v>
      </c>
      <c r="D18" s="11">
        <f t="shared" ca="1" si="2"/>
        <v>0</v>
      </c>
      <c r="E18" s="11">
        <f t="shared" ca="1" si="3"/>
        <v>3</v>
      </c>
      <c r="F18" s="36">
        <f t="shared" ca="1" si="4"/>
        <v>0.89923988407873079</v>
      </c>
      <c r="G18" s="11">
        <f t="shared" ca="1" si="5"/>
        <v>4.1731435355857258E-3</v>
      </c>
      <c r="H18" s="11">
        <f t="shared" ca="1" si="6"/>
        <v>4.9490062823664541E-2</v>
      </c>
      <c r="I18" s="11">
        <f t="shared" ca="1" si="7"/>
        <v>7.215111093313209E-2</v>
      </c>
      <c r="J18" s="11">
        <f t="shared" ca="1" si="8"/>
        <v>88</v>
      </c>
      <c r="K18" s="11">
        <f t="shared" ca="1" si="9"/>
        <v>120</v>
      </c>
      <c r="L18" s="11">
        <f t="shared" ca="1" si="10"/>
        <v>69</v>
      </c>
      <c r="M18" s="11">
        <f ca="1">MAX(MAX(0,($J18*(1+0.5*Acuity_M))-(Model!$G$24*(1+OTCapPct)*(Cap_Doc*$C18*(1-$G18)))),MAX(0,($J18)-(Model!$G$6*(1+OTCapPct)*(Cap_Nurse*$C18*(1-$H18)))),MAX(0,($J18)-(Model!$G$15*(1+OTCapPct)*(Cap_Tech*$C18*(1-$I18)))),MAX(0,$J18-((BedsCurrent+BedsAdded)*ShiftHours*$F18/BedHr_M)),MAX(0,$J18*Acuity_M-(ImgBase+ImgExpOn*ImgExpAdd)),MAX(0,$J18-(LabBase+LabExpOn*LabExpAdd)))</f>
        <v>0</v>
      </c>
      <c r="N18" s="11">
        <f ca="1">MAX(MAX(0,($K18*(1+0.5*Acuity_E))-(Model!$G$25*(1+OTCapPct)*(Cap_Doc*$C18*(1-$G18)))),MAX(0,($K18)-(Model!$G$7*(1+OTCapPct)*(Cap_Nurse*$C18*(1-$H18)))),MAX(0,($K18)-(Model!$G$16*(1+OTCapPct)*(Cap_Tech*$C18*(1-$I18)))),MAX(0,$K18-((BedsCurrent+BedsAdded)*ShiftHours*$F18/BedHr_E)),MAX(0,$K18*Acuity_E-(ImgBase+ImgExpOn*ImgExpAdd)),MAX(0,$K18-(LabBase+LabExpOn*LabExpAdd)))</f>
        <v>25</v>
      </c>
      <c r="O18" s="11">
        <f ca="1">MAX(MAX(0,($L18*(1+0.5*Acuity_N))-(Model!$G$26*(1+OTCapPct)*(Cap_Doc*$C18*(1-$G18)))),MAX(0,($L18)-(Model!$G$8*(1+OTCapPct)*(Cap_Nurse*$C18*(1-$H18)))),MAX(0,($L18)-(Model!$G$17*(1+OTCapPct)*(Cap_Tech*$C18*(1-$I18)))),MAX(0,$L18-((BedsCurrent+BedsAdded)*ShiftHours*$F18/BedHr_N)),MAX(0,$L18*Acuity_N-(ImgBase+ImgExpOn*ImgExpAdd)),MAX(0,$L18-(LabBase+LabExpOn*LabExpAdd)))</f>
        <v>0</v>
      </c>
      <c r="P18" s="11">
        <f t="shared" ca="1" si="11"/>
        <v>25</v>
      </c>
      <c r="Q18" s="17">
        <f ca="1">((MIN(OTCapPct*Model!$G$24,MAX(0,(($J18*(1+0.5*Acuity_M))/(Cap_Doc*$C18*(1-$G18)))-Model!$G$24)))*OTCost_Doc)+((MIN(OTCapPct*Model!$G$6,MAX(0,(($J18)/(Cap_Nurse*$C18*(1-$H18)))-Model!$G$6)))*OTCost_Nurse)+((MIN(OTCapPct*Model!$G$15,MAX(0,(($J18)/(Cap_Tech*$C18*(1-$I18)))-Model!$G$15)))*OTCost_Tech)+((MIN(OTCapPct*Model!$G$25,MAX(0,(($K18*(1+0.5*Acuity_E))/(Cap_Doc*$C18*(1-$G18)))-Model!$G$25)))*OTCost_Doc)+((MIN(OTCapPct*Model!$G$7,MAX(0,(($K18)/(Cap_Nurse*$C18*(1-$H18)))-Model!$G$7)))*OTCost_Nurse)+((MIN(OTCapPct*Model!$G$16,MAX(0,(($K18)/(Cap_Tech*$C18*(1-$I18)))-Model!$G$16)))*OTCost_Tech)+((MIN(OTCapPct*Model!$G$26,MAX(0,(($L18*(1+0.5*Acuity_N))/(Cap_Doc*$C18*(1-$G18)))-Model!$G$26)))*OTCost_Doc)+((MIN(OTCapPct*Model!$G$8,MAX(0,(($L18)/(Cap_Nurse*$C18*(1-$H18)))-Model!$G$8)))*OTCost_Nurse)+((MIN(OTCapPct*Model!$G$17,MAX(0,(($L18)/(Cap_Tech*$C18*(1-$I18)))-Model!$G$17)))*OTCost_Tech)</f>
        <v>79027.921693575263</v>
      </c>
    </row>
    <row r="19" spans="1:17" x14ac:dyDescent="0.25">
      <c r="A19" s="11">
        <v>15</v>
      </c>
      <c r="B19" s="11" t="str">
        <f t="shared" ca="1" si="0"/>
        <v>Normal</v>
      </c>
      <c r="C19" s="11">
        <f t="shared" ca="1" si="1"/>
        <v>1</v>
      </c>
      <c r="D19" s="11">
        <f t="shared" ca="1" si="2"/>
        <v>0</v>
      </c>
      <c r="E19" s="11">
        <f t="shared" ca="1" si="3"/>
        <v>1</v>
      </c>
      <c r="F19" s="36">
        <f t="shared" ca="1" si="4"/>
        <v>1.1373347280868575</v>
      </c>
      <c r="G19" s="11">
        <f t="shared" ca="1" si="5"/>
        <v>6.5484768278786562E-2</v>
      </c>
      <c r="H19" s="11">
        <f t="shared" ca="1" si="6"/>
        <v>2.742811213517251E-2</v>
      </c>
      <c r="I19" s="11">
        <f t="shared" ca="1" si="7"/>
        <v>2.7677829388984356E-2</v>
      </c>
      <c r="J19" s="11">
        <f t="shared" ca="1" si="8"/>
        <v>79</v>
      </c>
      <c r="K19" s="11">
        <f t="shared" ca="1" si="9"/>
        <v>115</v>
      </c>
      <c r="L19" s="11">
        <f t="shared" ca="1" si="10"/>
        <v>58</v>
      </c>
      <c r="M19" s="11">
        <f ca="1">MAX(MAX(0,($J19*(1+0.5*Acuity_M))-(Model!$G$24*(1+OTCapPct)*(Cap_Doc*$C19*(1-$G19)))),MAX(0,($J19)-(Model!$G$6*(1+OTCapPct)*(Cap_Nurse*$C19*(1-$H19)))),MAX(0,($J19)-(Model!$G$15*(1+OTCapPct)*(Cap_Tech*$C19*(1-$I19)))),MAX(0,$J19-((BedsCurrent+BedsAdded)*ShiftHours*$F19/BedHr_M)),MAX(0,$J19*Acuity_M-(ImgBase+ImgExpOn*ImgExpAdd)),MAX(0,$J19-(LabBase+LabExpOn*LabExpAdd)))</f>
        <v>0</v>
      </c>
      <c r="N19" s="11">
        <f ca="1">MAX(MAX(0,($K19*(1+0.5*Acuity_E))-(Model!$G$25*(1+OTCapPct)*(Cap_Doc*$C19*(1-$G19)))),MAX(0,($K19)-(Model!$G$7*(1+OTCapPct)*(Cap_Nurse*$C19*(1-$H19)))),MAX(0,($K19)-(Model!$G$16*(1+OTCapPct)*(Cap_Tech*$C19*(1-$I19)))),MAX(0,$K19-((BedsCurrent+BedsAdded)*ShiftHours*$F19/BedHr_E)),MAX(0,$K19*Acuity_E-(ImgBase+ImgExpOn*ImgExpAdd)),MAX(0,$K19-(LabBase+LabExpOn*LabExpAdd)))</f>
        <v>20</v>
      </c>
      <c r="O19" s="11">
        <f ca="1">MAX(MAX(0,($L19*(1+0.5*Acuity_N))-(Model!$G$26*(1+OTCapPct)*(Cap_Doc*$C19*(1-$G19)))),MAX(0,($L19)-(Model!$G$8*(1+OTCapPct)*(Cap_Nurse*$C19*(1-$H19)))),MAX(0,($L19)-(Model!$G$17*(1+OTCapPct)*(Cap_Tech*$C19*(1-$I19)))),MAX(0,$L19-((BedsCurrent+BedsAdded)*ShiftHours*$F19/BedHr_N)),MAX(0,$L19*Acuity_N-(ImgBase+ImgExpOn*ImgExpAdd)),MAX(0,$L19-(LabBase+LabExpOn*LabExpAdd)))</f>
        <v>0</v>
      </c>
      <c r="P19" s="11">
        <f t="shared" ca="1" si="11"/>
        <v>20</v>
      </c>
      <c r="Q19" s="17">
        <f ca="1">((MIN(OTCapPct*Model!$G$24,MAX(0,(($J19*(1+0.5*Acuity_M))/(Cap_Doc*$C19*(1-$G19)))-Model!$G$24)))*OTCost_Doc)+((MIN(OTCapPct*Model!$G$6,MAX(0,(($J19)/(Cap_Nurse*$C19*(1-$H19)))-Model!$G$6)))*OTCost_Nurse)+((MIN(OTCapPct*Model!$G$15,MAX(0,(($J19)/(Cap_Tech*$C19*(1-$I19)))-Model!$G$15)))*OTCost_Tech)+((MIN(OTCapPct*Model!$G$25,MAX(0,(($K19*(1+0.5*Acuity_E))/(Cap_Doc*$C19*(1-$G19)))-Model!$G$25)))*OTCost_Doc)+((MIN(OTCapPct*Model!$G$7,MAX(0,(($K19)/(Cap_Nurse*$C19*(1-$H19)))-Model!$G$7)))*OTCost_Nurse)+((MIN(OTCapPct*Model!$G$16,MAX(0,(($K19)/(Cap_Tech*$C19*(1-$I19)))-Model!$G$16)))*OTCost_Tech)+((MIN(OTCapPct*Model!$G$26,MAX(0,(($L19*(1+0.5*Acuity_N))/(Cap_Doc*$C19*(1-$G19)))-Model!$G$26)))*OTCost_Doc)+((MIN(OTCapPct*Model!$G$8,MAX(0,(($L19)/(Cap_Nurse*$C19*(1-$H19)))-Model!$G$8)))*OTCost_Nurse)+((MIN(OTCapPct*Model!$G$17,MAX(0,(($L19)/(Cap_Tech*$C19*(1-$I19)))-Model!$G$17)))*OTCost_Tech)</f>
        <v>13591.038465761954</v>
      </c>
    </row>
    <row r="20" spans="1:17" x14ac:dyDescent="0.25">
      <c r="A20" s="11">
        <v>16</v>
      </c>
      <c r="B20" s="11" t="str">
        <f t="shared" ca="1" si="0"/>
        <v>Normal</v>
      </c>
      <c r="C20" s="11">
        <f t="shared" ca="1" si="1"/>
        <v>1</v>
      </c>
      <c r="D20" s="11">
        <f t="shared" ca="1" si="2"/>
        <v>0</v>
      </c>
      <c r="E20" s="11">
        <f t="shared" ca="1" si="3"/>
        <v>3</v>
      </c>
      <c r="F20" s="36">
        <f t="shared" ca="1" si="4"/>
        <v>0.8024783971009305</v>
      </c>
      <c r="G20" s="11">
        <f t="shared" ca="1" si="5"/>
        <v>1.3843613023721224E-2</v>
      </c>
      <c r="H20" s="11">
        <f t="shared" ca="1" si="6"/>
        <v>7.6842109163125019E-3</v>
      </c>
      <c r="I20" s="11">
        <f t="shared" ca="1" si="7"/>
        <v>0.15990152446184189</v>
      </c>
      <c r="J20" s="11">
        <f t="shared" ca="1" si="8"/>
        <v>92</v>
      </c>
      <c r="K20" s="11">
        <f t="shared" ca="1" si="9"/>
        <v>146</v>
      </c>
      <c r="L20" s="11">
        <f t="shared" ca="1" si="10"/>
        <v>58</v>
      </c>
      <c r="M20" s="11">
        <f ca="1">MAX(MAX(0,($J20*(1+0.5*Acuity_M))-(Model!$G$24*(1+OTCapPct)*(Cap_Doc*$C20*(1-$G20)))),MAX(0,($J20)-(Model!$G$6*(1+OTCapPct)*(Cap_Nurse*$C20*(1-$H20)))),MAX(0,($J20)-(Model!$G$15*(1+OTCapPct)*(Cap_Tech*$C20*(1-$I20)))),MAX(0,$J20-((BedsCurrent+BedsAdded)*ShiftHours*$F20/BedHr_M)),MAX(0,$J20*Acuity_M-(ImgBase+ImgExpOn*ImgExpAdd)),MAX(0,$J20-(LabBase+LabExpOn*LabExpAdd)))</f>
        <v>0</v>
      </c>
      <c r="N20" s="11">
        <f ca="1">MAX(MAX(0,($K20*(1+0.5*Acuity_E))-(Model!$G$25*(1+OTCapPct)*(Cap_Doc*$C20*(1-$G20)))),MAX(0,($K20)-(Model!$G$7*(1+OTCapPct)*(Cap_Nurse*$C20*(1-$H20)))),MAX(0,($K20)-(Model!$G$16*(1+OTCapPct)*(Cap_Tech*$C20*(1-$I20)))),MAX(0,$K20-((BedsCurrent+BedsAdded)*ShiftHours*$F20/BedHr_E)),MAX(0,$K20*Acuity_E-(ImgBase+ImgExpOn*ImgExpAdd)),MAX(0,$K20-(LabBase+LabExpOn*LabExpAdd)))</f>
        <v>58.690350395418761</v>
      </c>
      <c r="O20" s="11">
        <f ca="1">MAX(MAX(0,($L20*(1+0.5*Acuity_N))-(Model!$G$26*(1+OTCapPct)*(Cap_Doc*$C20*(1-$G20)))),MAX(0,($L20)-(Model!$G$8*(1+OTCapPct)*(Cap_Nurse*$C20*(1-$H20)))),MAX(0,($L20)-(Model!$G$17*(1+OTCapPct)*(Cap_Tech*$C20*(1-$I20)))),MAX(0,$L20-((BedsCurrent+BedsAdded)*ShiftHours*$F20/BedHr_N)),MAX(0,$L20*Acuity_N-(ImgBase+ImgExpOn*ImgExpAdd)),MAX(0,$L20-(LabBase+LabExpOn*LabExpAdd)))</f>
        <v>0</v>
      </c>
      <c r="P20" s="11">
        <f t="shared" ca="1" si="11"/>
        <v>58.690350395418761</v>
      </c>
      <c r="Q20" s="17">
        <f ca="1">((MIN(OTCapPct*Model!$G$24,MAX(0,(($J20*(1+0.5*Acuity_M))/(Cap_Doc*$C20*(1-$G20)))-Model!$G$24)))*OTCost_Doc)+((MIN(OTCapPct*Model!$G$6,MAX(0,(($J20)/(Cap_Nurse*$C20*(1-$H20)))-Model!$G$6)))*OTCost_Nurse)+((MIN(OTCapPct*Model!$G$15,MAX(0,(($J20)/(Cap_Tech*$C20*(1-$I20)))-Model!$G$15)))*OTCost_Tech)+((MIN(OTCapPct*Model!$G$25,MAX(0,(($K20*(1+0.5*Acuity_E))/(Cap_Doc*$C20*(1-$G20)))-Model!$G$25)))*OTCost_Doc)+((MIN(OTCapPct*Model!$G$7,MAX(0,(($K20)/(Cap_Nurse*$C20*(1-$H20)))-Model!$G$7)))*OTCost_Nurse)+((MIN(OTCapPct*Model!$G$16,MAX(0,(($K20)/(Cap_Tech*$C20*(1-$I20)))-Model!$G$16)))*OTCost_Tech)+((MIN(OTCapPct*Model!$G$26,MAX(0,(($L20*(1+0.5*Acuity_N))/(Cap_Doc*$C20*(1-$G20)))-Model!$G$26)))*OTCost_Doc)+((MIN(OTCapPct*Model!$G$8,MAX(0,(($L20)/(Cap_Nurse*$C20*(1-$H20)))-Model!$G$8)))*OTCost_Nurse)+((MIN(OTCapPct*Model!$G$17,MAX(0,(($L20)/(Cap_Tech*$C20*(1-$I20)))-Model!$G$17)))*OTCost_Tech)</f>
        <v>61456.95567719543</v>
      </c>
    </row>
    <row r="21" spans="1:17" x14ac:dyDescent="0.25">
      <c r="A21" s="11">
        <v>17</v>
      </c>
      <c r="B21" s="11" t="str">
        <f t="shared" ca="1" si="0"/>
        <v>Normal</v>
      </c>
      <c r="C21" s="11">
        <f t="shared" ca="1" si="1"/>
        <v>1</v>
      </c>
      <c r="D21" s="11">
        <f t="shared" ca="1" si="2"/>
        <v>0</v>
      </c>
      <c r="E21" s="11">
        <f t="shared" ca="1" si="3"/>
        <v>1</v>
      </c>
      <c r="F21" s="36">
        <f t="shared" ca="1" si="4"/>
        <v>1.0023352504726228</v>
      </c>
      <c r="G21" s="11">
        <f t="shared" ca="1" si="5"/>
        <v>6.9550919228947114E-2</v>
      </c>
      <c r="H21" s="11">
        <f t="shared" ca="1" si="6"/>
        <v>0.12511008913829744</v>
      </c>
      <c r="I21" s="11">
        <f t="shared" ca="1" si="7"/>
        <v>0.15909376997259123</v>
      </c>
      <c r="J21" s="11">
        <f t="shared" ca="1" si="8"/>
        <v>71</v>
      </c>
      <c r="K21" s="11">
        <f t="shared" ca="1" si="9"/>
        <v>114</v>
      </c>
      <c r="L21" s="11">
        <f t="shared" ca="1" si="10"/>
        <v>60</v>
      </c>
      <c r="M21" s="11">
        <f ca="1">MAX(MAX(0,($J21*(1+0.5*Acuity_M))-(Model!$G$24*(1+OTCapPct)*(Cap_Doc*$C21*(1-$G21)))),MAX(0,($J21)-(Model!$G$6*(1+OTCapPct)*(Cap_Nurse*$C21*(1-$H21)))),MAX(0,($J21)-(Model!$G$15*(1+OTCapPct)*(Cap_Tech*$C21*(1-$I21)))),MAX(0,$J21-((BedsCurrent+BedsAdded)*ShiftHours*$F21/BedHr_M)),MAX(0,$J21*Acuity_M-(ImgBase+ImgExpOn*ImgExpAdd)),MAX(0,$J21-(LabBase+LabExpOn*LabExpAdd)))</f>
        <v>0</v>
      </c>
      <c r="N21" s="11">
        <f ca="1">MAX(MAX(0,($K21*(1+0.5*Acuity_E))-(Model!$G$25*(1+OTCapPct)*(Cap_Doc*$C21*(1-$G21)))),MAX(0,($K21)-(Model!$G$7*(1+OTCapPct)*(Cap_Nurse*$C21*(1-$H21)))),MAX(0,($K21)-(Model!$G$16*(1+OTCapPct)*(Cap_Tech*$C21*(1-$I21)))),MAX(0,$K21-((BedsCurrent+BedsAdded)*ShiftHours*$F21/BedHr_E)),MAX(0,$K21*Acuity_E-(ImgBase+ImgExpOn*ImgExpAdd)),MAX(0,$K21-(LabBase+LabExpOn*LabExpAdd)))</f>
        <v>19</v>
      </c>
      <c r="O21" s="11">
        <f ca="1">MAX(MAX(0,($L21*(1+0.5*Acuity_N))-(Model!$G$26*(1+OTCapPct)*(Cap_Doc*$C21*(1-$G21)))),MAX(0,($L21)-(Model!$G$8*(1+OTCapPct)*(Cap_Nurse*$C21*(1-$H21)))),MAX(0,($L21)-(Model!$G$17*(1+OTCapPct)*(Cap_Tech*$C21*(1-$I21)))),MAX(0,$L21-((BedsCurrent+BedsAdded)*ShiftHours*$F21/BedHr_N)),MAX(0,$L21*Acuity_N-(ImgBase+ImgExpOn*ImgExpAdd)),MAX(0,$L21-(LabBase+LabExpOn*LabExpAdd)))</f>
        <v>0</v>
      </c>
      <c r="P21" s="11">
        <f t="shared" ca="1" si="11"/>
        <v>19</v>
      </c>
      <c r="Q21" s="17">
        <f ca="1">((MIN(OTCapPct*Model!$G$24,MAX(0,(($J21*(1+0.5*Acuity_M))/(Cap_Doc*$C21*(1-$G21)))-Model!$G$24)))*OTCost_Doc)+((MIN(OTCapPct*Model!$G$6,MAX(0,(($J21)/(Cap_Nurse*$C21*(1-$H21)))-Model!$G$6)))*OTCost_Nurse)+((MIN(OTCapPct*Model!$G$15,MAX(0,(($J21)/(Cap_Tech*$C21*(1-$I21)))-Model!$G$15)))*OTCost_Tech)+((MIN(OTCapPct*Model!$G$25,MAX(0,(($K21*(1+0.5*Acuity_E))/(Cap_Doc*$C21*(1-$G21)))-Model!$G$25)))*OTCost_Doc)+((MIN(OTCapPct*Model!$G$7,MAX(0,(($K21)/(Cap_Nurse*$C21*(1-$H21)))-Model!$G$7)))*OTCost_Nurse)+((MIN(OTCapPct*Model!$G$16,MAX(0,(($K21)/(Cap_Tech*$C21*(1-$I21)))-Model!$G$16)))*OTCost_Tech)+((MIN(OTCapPct*Model!$G$26,MAX(0,(($L21*(1+0.5*Acuity_N))/(Cap_Doc*$C21*(1-$G21)))-Model!$G$26)))*OTCost_Doc)+((MIN(OTCapPct*Model!$G$8,MAX(0,(($L21)/(Cap_Nurse*$C21*(1-$H21)))-Model!$G$8)))*OTCost_Nurse)+((MIN(OTCapPct*Model!$G$17,MAX(0,(($L21)/(Cap_Tech*$C21*(1-$I21)))-Model!$G$17)))*OTCost_Tech)</f>
        <v>20049.151193949023</v>
      </c>
    </row>
    <row r="22" spans="1:17" x14ac:dyDescent="0.25">
      <c r="A22" s="11">
        <v>18</v>
      </c>
      <c r="B22" s="11" t="str">
        <f t="shared" ca="1" si="0"/>
        <v>Normal</v>
      </c>
      <c r="C22" s="11">
        <f t="shared" ca="1" si="1"/>
        <v>1</v>
      </c>
      <c r="D22" s="11">
        <f t="shared" ca="1" si="2"/>
        <v>0</v>
      </c>
      <c r="E22" s="11">
        <f t="shared" ca="1" si="3"/>
        <v>1</v>
      </c>
      <c r="F22" s="36">
        <f t="shared" ca="1" si="4"/>
        <v>0.90704436964042889</v>
      </c>
      <c r="G22" s="11">
        <f t="shared" ca="1" si="5"/>
        <v>1.2277329975602325E-2</v>
      </c>
      <c r="H22" s="11">
        <f t="shared" ca="1" si="6"/>
        <v>7.4848616291435743E-2</v>
      </c>
      <c r="I22" s="11">
        <f t="shared" ca="1" si="7"/>
        <v>5.9967503524069904E-2</v>
      </c>
      <c r="J22" s="11">
        <f t="shared" ca="1" si="8"/>
        <v>94</v>
      </c>
      <c r="K22" s="11">
        <f t="shared" ca="1" si="9"/>
        <v>125</v>
      </c>
      <c r="L22" s="11">
        <f t="shared" ca="1" si="10"/>
        <v>59</v>
      </c>
      <c r="M22" s="11">
        <f ca="1">MAX(MAX(0,($J22*(1+0.5*Acuity_M))-(Model!$G$24*(1+OTCapPct)*(Cap_Doc*$C22*(1-$G22)))),MAX(0,($J22)-(Model!$G$6*(1+OTCapPct)*(Cap_Nurse*$C22*(1-$H22)))),MAX(0,($J22)-(Model!$G$15*(1+OTCapPct)*(Cap_Tech*$C22*(1-$I22)))),MAX(0,$J22-((BedsCurrent+BedsAdded)*ShiftHours*$F22/BedHr_M)),MAX(0,$J22*Acuity_M-(ImgBase+ImgExpOn*ImgExpAdd)),MAX(0,$J22-(LabBase+LabExpOn*LabExpAdd)))</f>
        <v>0</v>
      </c>
      <c r="N22" s="11">
        <f ca="1">MAX(MAX(0,($K22*(1+0.5*Acuity_E))-(Model!$G$25*(1+OTCapPct)*(Cap_Doc*$C22*(1-$G22)))),MAX(0,($K22)-(Model!$G$7*(1+OTCapPct)*(Cap_Nurse*$C22*(1-$H22)))),MAX(0,($K22)-(Model!$G$16*(1+OTCapPct)*(Cap_Tech*$C22*(1-$I22)))),MAX(0,$K22-((BedsCurrent+BedsAdded)*ShiftHours*$F22/BedHr_E)),MAX(0,$K22*Acuity_E-(ImgBase+ImgExpOn*ImgExpAdd)),MAX(0,$K22-(LabBase+LabExpOn*LabExpAdd)))</f>
        <v>30</v>
      </c>
      <c r="O22" s="11">
        <f ca="1">MAX(MAX(0,($L22*(1+0.5*Acuity_N))-(Model!$G$26*(1+OTCapPct)*(Cap_Doc*$C22*(1-$G22)))),MAX(0,($L22)-(Model!$G$8*(1+OTCapPct)*(Cap_Nurse*$C22*(1-$H22)))),MAX(0,($L22)-(Model!$G$17*(1+OTCapPct)*(Cap_Tech*$C22*(1-$I22)))),MAX(0,$L22-((BedsCurrent+BedsAdded)*ShiftHours*$F22/BedHr_N)),MAX(0,$L22*Acuity_N-(ImgBase+ImgExpOn*ImgExpAdd)),MAX(0,$L22-(LabBase+LabExpOn*LabExpAdd)))</f>
        <v>0</v>
      </c>
      <c r="P22" s="11">
        <f t="shared" ca="1" si="11"/>
        <v>30</v>
      </c>
      <c r="Q22" s="17">
        <f ca="1">((MIN(OTCapPct*Model!$G$24,MAX(0,(($J22*(1+0.5*Acuity_M))/(Cap_Doc*$C22*(1-$G22)))-Model!$G$24)))*OTCost_Doc)+((MIN(OTCapPct*Model!$G$6,MAX(0,(($J22)/(Cap_Nurse*$C22*(1-$H22)))-Model!$G$6)))*OTCost_Nurse)+((MIN(OTCapPct*Model!$G$15,MAX(0,(($J22)/(Cap_Tech*$C22*(1-$I22)))-Model!$G$15)))*OTCost_Tech)+((MIN(OTCapPct*Model!$G$25,MAX(0,(($K22*(1+0.5*Acuity_E))/(Cap_Doc*$C22*(1-$G22)))-Model!$G$25)))*OTCost_Doc)+((MIN(OTCapPct*Model!$G$7,MAX(0,(($K22)/(Cap_Nurse*$C22*(1-$H22)))-Model!$G$7)))*OTCost_Nurse)+((MIN(OTCapPct*Model!$G$16,MAX(0,(($K22)/(Cap_Tech*$C22*(1-$I22)))-Model!$G$16)))*OTCost_Tech)+((MIN(OTCapPct*Model!$G$26,MAX(0,(($L22*(1+0.5*Acuity_N))/(Cap_Doc*$C22*(1-$G22)))-Model!$G$26)))*OTCost_Doc)+((MIN(OTCapPct*Model!$G$8,MAX(0,(($L22)/(Cap_Nurse*$C22*(1-$H22)))-Model!$G$8)))*OTCost_Nurse)+((MIN(OTCapPct*Model!$G$17,MAX(0,(($L22)/(Cap_Tech*$C22*(1-$I22)))-Model!$G$17)))*OTCost_Tech)</f>
        <v>46981.857670426965</v>
      </c>
    </row>
    <row r="23" spans="1:17" x14ac:dyDescent="0.25">
      <c r="A23" s="11">
        <v>19</v>
      </c>
      <c r="B23" s="11" t="str">
        <f t="shared" ca="1" si="0"/>
        <v>Normal</v>
      </c>
      <c r="C23" s="11">
        <f t="shared" ca="1" si="1"/>
        <v>1</v>
      </c>
      <c r="D23" s="11">
        <f t="shared" ca="1" si="2"/>
        <v>0</v>
      </c>
      <c r="E23" s="11">
        <f t="shared" ca="1" si="3"/>
        <v>2</v>
      </c>
      <c r="F23" s="36">
        <f t="shared" ca="1" si="4"/>
        <v>1.0035944401868435</v>
      </c>
      <c r="G23" s="11">
        <f t="shared" ca="1" si="5"/>
        <v>0</v>
      </c>
      <c r="H23" s="11">
        <f t="shared" ca="1" si="6"/>
        <v>7.362821810251019E-2</v>
      </c>
      <c r="I23" s="11">
        <f t="shared" ca="1" si="7"/>
        <v>7.5239565337510833E-2</v>
      </c>
      <c r="J23" s="11">
        <f t="shared" ca="1" si="8"/>
        <v>94</v>
      </c>
      <c r="K23" s="11">
        <f t="shared" ca="1" si="9"/>
        <v>123</v>
      </c>
      <c r="L23" s="11">
        <f t="shared" ca="1" si="10"/>
        <v>76</v>
      </c>
      <c r="M23" s="11">
        <f ca="1">MAX(MAX(0,($J23*(1+0.5*Acuity_M))-(Model!$G$24*(1+OTCapPct)*(Cap_Doc*$C23*(1-$G23)))),MAX(0,($J23)-(Model!$G$6*(1+OTCapPct)*(Cap_Nurse*$C23*(1-$H23)))),MAX(0,($J23)-(Model!$G$15*(1+OTCapPct)*(Cap_Tech*$C23*(1-$I23)))),MAX(0,$J23-((BedsCurrent+BedsAdded)*ShiftHours*$F23/BedHr_M)),MAX(0,$J23*Acuity_M-(ImgBase+ImgExpOn*ImgExpAdd)),MAX(0,$J23-(LabBase+LabExpOn*LabExpAdd)))</f>
        <v>0</v>
      </c>
      <c r="N23" s="11">
        <f ca="1">MAX(MAX(0,($K23*(1+0.5*Acuity_E))-(Model!$G$25*(1+OTCapPct)*(Cap_Doc*$C23*(1-$G23)))),MAX(0,($K23)-(Model!$G$7*(1+OTCapPct)*(Cap_Nurse*$C23*(1-$H23)))),MAX(0,($K23)-(Model!$G$16*(1+OTCapPct)*(Cap_Tech*$C23*(1-$I23)))),MAX(0,$K23-((BedsCurrent+BedsAdded)*ShiftHours*$F23/BedHr_E)),MAX(0,$K23*Acuity_E-(ImgBase+ImgExpOn*ImgExpAdd)),MAX(0,$K23-(LabBase+LabExpOn*LabExpAdd)))</f>
        <v>28</v>
      </c>
      <c r="O23" s="11">
        <f ca="1">MAX(MAX(0,($L23*(1+0.5*Acuity_N))-(Model!$G$26*(1+OTCapPct)*(Cap_Doc*$C23*(1-$G23)))),MAX(0,($L23)-(Model!$G$8*(1+OTCapPct)*(Cap_Nurse*$C23*(1-$H23)))),MAX(0,($L23)-(Model!$G$17*(1+OTCapPct)*(Cap_Tech*$C23*(1-$I23)))),MAX(0,$L23-((BedsCurrent+BedsAdded)*ShiftHours*$F23/BedHr_N)),MAX(0,$L23*Acuity_N-(ImgBase+ImgExpOn*ImgExpAdd)),MAX(0,$L23-(LabBase+LabExpOn*LabExpAdd)))</f>
        <v>0</v>
      </c>
      <c r="P23" s="11">
        <f t="shared" ca="1" si="11"/>
        <v>28</v>
      </c>
      <c r="Q23" s="17">
        <f ca="1">((MIN(OTCapPct*Model!$G$24,MAX(0,(($J23*(1+0.5*Acuity_M))/(Cap_Doc*$C23*(1-$G23)))-Model!$G$24)))*OTCost_Doc)+((MIN(OTCapPct*Model!$G$6,MAX(0,(($J23)/(Cap_Nurse*$C23*(1-$H23)))-Model!$G$6)))*OTCost_Nurse)+((MIN(OTCapPct*Model!$G$15,MAX(0,(($J23)/(Cap_Tech*$C23*(1-$I23)))-Model!$G$15)))*OTCost_Tech)+((MIN(OTCapPct*Model!$G$25,MAX(0,(($K23*(1+0.5*Acuity_E))/(Cap_Doc*$C23*(1-$G23)))-Model!$G$25)))*OTCost_Doc)+((MIN(OTCapPct*Model!$G$7,MAX(0,(($K23)/(Cap_Nurse*$C23*(1-$H23)))-Model!$G$7)))*OTCost_Nurse)+((MIN(OTCapPct*Model!$G$16,MAX(0,(($K23)/(Cap_Tech*$C23*(1-$I23)))-Model!$G$16)))*OTCost_Tech)+((MIN(OTCapPct*Model!$G$26,MAX(0,(($L23*(1+0.5*Acuity_N))/(Cap_Doc*$C23*(1-$G23)))-Model!$G$26)))*OTCost_Doc)+((MIN(OTCapPct*Model!$G$8,MAX(0,(($L23)/(Cap_Nurse*$C23*(1-$H23)))-Model!$G$8)))*OTCost_Nurse)+((MIN(OTCapPct*Model!$G$17,MAX(0,(($L23)/(Cap_Tech*$C23*(1-$I23)))-Model!$G$17)))*OTCost_Tech)</f>
        <v>58901.732006211947</v>
      </c>
    </row>
    <row r="24" spans="1:17" x14ac:dyDescent="0.25">
      <c r="A24" s="11">
        <v>20</v>
      </c>
      <c r="B24" s="11" t="str">
        <f t="shared" ca="1" si="0"/>
        <v>Severe</v>
      </c>
      <c r="C24" s="11">
        <f t="shared" ca="1" si="1"/>
        <v>0.8</v>
      </c>
      <c r="D24" s="11">
        <f t="shared" ca="1" si="2"/>
        <v>0</v>
      </c>
      <c r="E24" s="11">
        <f t="shared" ca="1" si="3"/>
        <v>2</v>
      </c>
      <c r="F24" s="36">
        <f t="shared" ca="1" si="4"/>
        <v>1.1267918457261064</v>
      </c>
      <c r="G24" s="11">
        <f t="shared" ca="1" si="5"/>
        <v>0</v>
      </c>
      <c r="H24" s="11">
        <f t="shared" ca="1" si="6"/>
        <v>5.4776213400691692E-2</v>
      </c>
      <c r="I24" s="11">
        <f t="shared" ca="1" si="7"/>
        <v>0.11095939321277772</v>
      </c>
      <c r="J24" s="11">
        <f t="shared" ca="1" si="8"/>
        <v>66</v>
      </c>
      <c r="K24" s="11">
        <f t="shared" ca="1" si="9"/>
        <v>121</v>
      </c>
      <c r="L24" s="11">
        <f t="shared" ca="1" si="10"/>
        <v>47</v>
      </c>
      <c r="M24" s="11">
        <f ca="1">MAX(MAX(0,($J24*(1+0.5*Acuity_M))-(Model!$G$24*(1+OTCapPct)*(Cap_Doc*$C24*(1-$G24)))),MAX(0,($J24)-(Model!$G$6*(1+OTCapPct)*(Cap_Nurse*$C24*(1-$H24)))),MAX(0,($J24)-(Model!$G$15*(1+OTCapPct)*(Cap_Tech*$C24*(1-$I24)))),MAX(0,$J24-((BedsCurrent+BedsAdded)*ShiftHours*$F24/BedHr_M)),MAX(0,$J24*Acuity_M-(ImgBase+ImgExpOn*ImgExpAdd)),MAX(0,$J24-(LabBase+LabExpOn*LabExpAdd)))</f>
        <v>0</v>
      </c>
      <c r="N24" s="11">
        <f ca="1">MAX(MAX(0,($K24*(1+0.5*Acuity_E))-(Model!$G$25*(1+OTCapPct)*(Cap_Doc*$C24*(1-$G24)))),MAX(0,($K24)-(Model!$G$7*(1+OTCapPct)*(Cap_Nurse*$C24*(1-$H24)))),MAX(0,($K24)-(Model!$G$16*(1+OTCapPct)*(Cap_Tech*$C24*(1-$I24)))),MAX(0,$K24-((BedsCurrent+BedsAdded)*ShiftHours*$F24/BedHr_E)),MAX(0,$K24*Acuity_E-(ImgBase+ImgExpOn*ImgExpAdd)),MAX(0,$K24-(LabBase+LabExpOn*LabExpAdd)))</f>
        <v>26</v>
      </c>
      <c r="O24" s="11">
        <f ca="1">MAX(MAX(0,($L24*(1+0.5*Acuity_N))-(Model!$G$26*(1+OTCapPct)*(Cap_Doc*$C24*(1-$G24)))),MAX(0,($L24)-(Model!$G$8*(1+OTCapPct)*(Cap_Nurse*$C24*(1-$H24)))),MAX(0,($L24)-(Model!$G$17*(1+OTCapPct)*(Cap_Tech*$C24*(1-$I24)))),MAX(0,$L24-((BedsCurrent+BedsAdded)*ShiftHours*$F24/BedHr_N)),MAX(0,$L24*Acuity_N-(ImgBase+ImgExpOn*ImgExpAdd)),MAX(0,$L24-(LabBase+LabExpOn*LabExpAdd)))</f>
        <v>0</v>
      </c>
      <c r="P24" s="11">
        <f t="shared" ca="1" si="11"/>
        <v>26</v>
      </c>
      <c r="Q24" s="17">
        <f ca="1">((MIN(OTCapPct*Model!$G$24,MAX(0,(($J24*(1+0.5*Acuity_M))/(Cap_Doc*$C24*(1-$G24)))-Model!$G$24)))*OTCost_Doc)+((MIN(OTCapPct*Model!$G$6,MAX(0,(($J24)/(Cap_Nurse*$C24*(1-$H24)))-Model!$G$6)))*OTCost_Nurse)+((MIN(OTCapPct*Model!$G$15,MAX(0,(($J24)/(Cap_Tech*$C24*(1-$I24)))-Model!$G$15)))*OTCost_Tech)+((MIN(OTCapPct*Model!$G$25,MAX(0,(($K24*(1+0.5*Acuity_E))/(Cap_Doc*$C24*(1-$G24)))-Model!$G$25)))*OTCost_Doc)+((MIN(OTCapPct*Model!$G$7,MAX(0,(($K24)/(Cap_Nurse*$C24*(1-$H24)))-Model!$G$7)))*OTCost_Nurse)+((MIN(OTCapPct*Model!$G$16,MAX(0,(($K24)/(Cap_Tech*$C24*(1-$I24)))-Model!$G$16)))*OTCost_Tech)+((MIN(OTCapPct*Model!$G$26,MAX(0,(($L24*(1+0.5*Acuity_N))/(Cap_Doc*$C24*(1-$G24)))-Model!$G$26)))*OTCost_Doc)+((MIN(OTCapPct*Model!$G$8,MAX(0,(($L24)/(Cap_Nurse*$C24*(1-$H24)))-Model!$G$8)))*OTCost_Nurse)+((MIN(OTCapPct*Model!$G$17,MAX(0,(($L24)/(Cap_Tech*$C24*(1-$I24)))-Model!$G$17)))*OTCost_Tech)</f>
        <v>48299.524229196009</v>
      </c>
    </row>
    <row r="25" spans="1:17" x14ac:dyDescent="0.25">
      <c r="A25" s="11">
        <v>21</v>
      </c>
      <c r="B25" s="11" t="str">
        <f t="shared" ca="1" si="0"/>
        <v>Normal</v>
      </c>
      <c r="C25" s="11">
        <f t="shared" ca="1" si="1"/>
        <v>1</v>
      </c>
      <c r="D25" s="11">
        <f t="shared" ca="1" si="2"/>
        <v>0</v>
      </c>
      <c r="E25" s="11">
        <f t="shared" ca="1" si="3"/>
        <v>2</v>
      </c>
      <c r="F25" s="36">
        <f t="shared" ca="1" si="4"/>
        <v>1.1972148037272388</v>
      </c>
      <c r="G25" s="11">
        <f t="shared" ca="1" si="5"/>
        <v>0</v>
      </c>
      <c r="H25" s="11">
        <f t="shared" ca="1" si="6"/>
        <v>4.637444338123585E-2</v>
      </c>
      <c r="I25" s="11">
        <f t="shared" ca="1" si="7"/>
        <v>0.10868503958981228</v>
      </c>
      <c r="J25" s="11">
        <f t="shared" ca="1" si="8"/>
        <v>60</v>
      </c>
      <c r="K25" s="11">
        <f t="shared" ca="1" si="9"/>
        <v>97</v>
      </c>
      <c r="L25" s="11">
        <f t="shared" ca="1" si="10"/>
        <v>67</v>
      </c>
      <c r="M25" s="11">
        <f ca="1">MAX(MAX(0,($J25*(1+0.5*Acuity_M))-(Model!$G$24*(1+OTCapPct)*(Cap_Doc*$C25*(1-$G25)))),MAX(0,($J25)-(Model!$G$6*(1+OTCapPct)*(Cap_Nurse*$C25*(1-$H25)))),MAX(0,($J25)-(Model!$G$15*(1+OTCapPct)*(Cap_Tech*$C25*(1-$I25)))),MAX(0,$J25-((BedsCurrent+BedsAdded)*ShiftHours*$F25/BedHr_M)),MAX(0,$J25*Acuity_M-(ImgBase+ImgExpOn*ImgExpAdd)),MAX(0,$J25-(LabBase+LabExpOn*LabExpAdd)))</f>
        <v>0</v>
      </c>
      <c r="N25" s="11">
        <f ca="1">MAX(MAX(0,($K25*(1+0.5*Acuity_E))-(Model!$G$25*(1+OTCapPct)*(Cap_Doc*$C25*(1-$G25)))),MAX(0,($K25)-(Model!$G$7*(1+OTCapPct)*(Cap_Nurse*$C25*(1-$H25)))),MAX(0,($K25)-(Model!$G$16*(1+OTCapPct)*(Cap_Tech*$C25*(1-$I25)))),MAX(0,$K25-((BedsCurrent+BedsAdded)*ShiftHours*$F25/BedHr_E)),MAX(0,$K25*Acuity_E-(ImgBase+ImgExpOn*ImgExpAdd)),MAX(0,$K25-(LabBase+LabExpOn*LabExpAdd)))</f>
        <v>2</v>
      </c>
      <c r="O25" s="11">
        <f ca="1">MAX(MAX(0,($L25*(1+0.5*Acuity_N))-(Model!$G$26*(1+OTCapPct)*(Cap_Doc*$C25*(1-$G25)))),MAX(0,($L25)-(Model!$G$8*(1+OTCapPct)*(Cap_Nurse*$C25*(1-$H25)))),MAX(0,($L25)-(Model!$G$17*(1+OTCapPct)*(Cap_Tech*$C25*(1-$I25)))),MAX(0,$L25-((BedsCurrent+BedsAdded)*ShiftHours*$F25/BedHr_N)),MAX(0,$L25*Acuity_N-(ImgBase+ImgExpOn*ImgExpAdd)),MAX(0,$L25-(LabBase+LabExpOn*LabExpAdd)))</f>
        <v>0</v>
      </c>
      <c r="P25" s="11">
        <f t="shared" ca="1" si="11"/>
        <v>2</v>
      </c>
      <c r="Q25" s="17">
        <f ca="1">((MIN(OTCapPct*Model!$G$24,MAX(0,(($J25*(1+0.5*Acuity_M))/(Cap_Doc*$C25*(1-$G25)))-Model!$G$24)))*OTCost_Doc)+((MIN(OTCapPct*Model!$G$6,MAX(0,(($J25)/(Cap_Nurse*$C25*(1-$H25)))-Model!$G$6)))*OTCost_Nurse)+((MIN(OTCapPct*Model!$G$15,MAX(0,(($J25)/(Cap_Tech*$C25*(1-$I25)))-Model!$G$15)))*OTCost_Tech)+((MIN(OTCapPct*Model!$G$25,MAX(0,(($K25*(1+0.5*Acuity_E))/(Cap_Doc*$C25*(1-$G25)))-Model!$G$25)))*OTCost_Doc)+((MIN(OTCapPct*Model!$G$7,MAX(0,(($K25)/(Cap_Nurse*$C25*(1-$H25)))-Model!$G$7)))*OTCost_Nurse)+((MIN(OTCapPct*Model!$G$16,MAX(0,(($K25)/(Cap_Tech*$C25*(1-$I25)))-Model!$G$16)))*OTCost_Tech)+((MIN(OTCapPct*Model!$G$26,MAX(0,(($L25*(1+0.5*Acuity_N))/(Cap_Doc*$C25*(1-$G25)))-Model!$G$26)))*OTCost_Doc)+((MIN(OTCapPct*Model!$G$8,MAX(0,(($L25)/(Cap_Nurse*$C25*(1-$H25)))-Model!$G$8)))*OTCost_Nurse)+((MIN(OTCapPct*Model!$G$17,MAX(0,(($L25)/(Cap_Tech*$C25*(1-$I25)))-Model!$G$17)))*OTCost_Tech)</f>
        <v>3787.4999999999927</v>
      </c>
    </row>
    <row r="26" spans="1:17" x14ac:dyDescent="0.25">
      <c r="A26" s="11">
        <v>22</v>
      </c>
      <c r="B26" s="11" t="str">
        <f t="shared" ca="1" si="0"/>
        <v>Normal</v>
      </c>
      <c r="C26" s="11">
        <f t="shared" ca="1" si="1"/>
        <v>1</v>
      </c>
      <c r="D26" s="11">
        <f t="shared" ca="1" si="2"/>
        <v>0</v>
      </c>
      <c r="E26" s="11">
        <f t="shared" ca="1" si="3"/>
        <v>1</v>
      </c>
      <c r="F26" s="36">
        <f t="shared" ca="1" si="4"/>
        <v>0.87495532599291548</v>
      </c>
      <c r="G26" s="11">
        <f t="shared" ca="1" si="5"/>
        <v>4.2145928689210015E-2</v>
      </c>
      <c r="H26" s="11">
        <f t="shared" ca="1" si="6"/>
        <v>5.4101761035452743E-2</v>
      </c>
      <c r="I26" s="11">
        <f t="shared" ca="1" si="7"/>
        <v>5.263574393210841E-2</v>
      </c>
      <c r="J26" s="11">
        <f t="shared" ca="1" si="8"/>
        <v>83</v>
      </c>
      <c r="K26" s="11">
        <f t="shared" ca="1" si="9"/>
        <v>117</v>
      </c>
      <c r="L26" s="11">
        <f t="shared" ca="1" si="10"/>
        <v>63</v>
      </c>
      <c r="M26" s="11">
        <f ca="1">MAX(MAX(0,($J26*(1+0.5*Acuity_M))-(Model!$G$24*(1+OTCapPct)*(Cap_Doc*$C26*(1-$G26)))),MAX(0,($J26)-(Model!$G$6*(1+OTCapPct)*(Cap_Nurse*$C26*(1-$H26)))),MAX(0,($J26)-(Model!$G$15*(1+OTCapPct)*(Cap_Tech*$C26*(1-$I26)))),MAX(0,$J26-((BedsCurrent+BedsAdded)*ShiftHours*$F26/BedHr_M)),MAX(0,$J26*Acuity_M-(ImgBase+ImgExpOn*ImgExpAdd)),MAX(0,$J26-(LabBase+LabExpOn*LabExpAdd)))</f>
        <v>0</v>
      </c>
      <c r="N26" s="11">
        <f ca="1">MAX(MAX(0,($K26*(1+0.5*Acuity_E))-(Model!$G$25*(1+OTCapPct)*(Cap_Doc*$C26*(1-$G26)))),MAX(0,($K26)-(Model!$G$7*(1+OTCapPct)*(Cap_Nurse*$C26*(1-$H26)))),MAX(0,($K26)-(Model!$G$16*(1+OTCapPct)*(Cap_Tech*$C26*(1-$I26)))),MAX(0,$K26-((BedsCurrent+BedsAdded)*ShiftHours*$F26/BedHr_E)),MAX(0,$K26*Acuity_E-(ImgBase+ImgExpOn*ImgExpAdd)),MAX(0,$K26-(LabBase+LabExpOn*LabExpAdd)))</f>
        <v>22</v>
      </c>
      <c r="O26" s="11">
        <f ca="1">MAX(MAX(0,($L26*(1+0.5*Acuity_N))-(Model!$G$26*(1+OTCapPct)*(Cap_Doc*$C26*(1-$G26)))),MAX(0,($L26)-(Model!$G$8*(1+OTCapPct)*(Cap_Nurse*$C26*(1-$H26)))),MAX(0,($L26)-(Model!$G$17*(1+OTCapPct)*(Cap_Tech*$C26*(1-$I26)))),MAX(0,$L26-((BedsCurrent+BedsAdded)*ShiftHours*$F26/BedHr_N)),MAX(0,$L26*Acuity_N-(ImgBase+ImgExpOn*ImgExpAdd)),MAX(0,$L26-(LabBase+LabExpOn*LabExpAdd)))</f>
        <v>0</v>
      </c>
      <c r="P26" s="11">
        <f t="shared" ca="1" si="11"/>
        <v>22</v>
      </c>
      <c r="Q26" s="17">
        <f ca="1">((MIN(OTCapPct*Model!$G$24,MAX(0,(($J26*(1+0.5*Acuity_M))/(Cap_Doc*$C26*(1-$G26)))-Model!$G$24)))*OTCost_Doc)+((MIN(OTCapPct*Model!$G$6,MAX(0,(($J26)/(Cap_Nurse*$C26*(1-$H26)))-Model!$G$6)))*OTCost_Nurse)+((MIN(OTCapPct*Model!$G$15,MAX(0,(($J26)/(Cap_Tech*$C26*(1-$I26)))-Model!$G$15)))*OTCost_Tech)+((MIN(OTCapPct*Model!$G$25,MAX(0,(($K26*(1+0.5*Acuity_E))/(Cap_Doc*$C26*(1-$G26)))-Model!$G$25)))*OTCost_Doc)+((MIN(OTCapPct*Model!$G$7,MAX(0,(($K26)/(Cap_Nurse*$C26*(1-$H26)))-Model!$G$7)))*OTCost_Nurse)+((MIN(OTCapPct*Model!$G$16,MAX(0,(($K26)/(Cap_Tech*$C26*(1-$I26)))-Model!$G$16)))*OTCost_Tech)+((MIN(OTCapPct*Model!$G$26,MAX(0,(($L26*(1+0.5*Acuity_N))/(Cap_Doc*$C26*(1-$G26)))-Model!$G$26)))*OTCost_Doc)+((MIN(OTCapPct*Model!$G$8,MAX(0,(($L26)/(Cap_Nurse*$C26*(1-$H26)))-Model!$G$8)))*OTCost_Nurse)+((MIN(OTCapPct*Model!$G$17,MAX(0,(($L26)/(Cap_Tech*$C26*(1-$I26)))-Model!$G$17)))*OTCost_Tech)</f>
        <v>21915.770982313366</v>
      </c>
    </row>
    <row r="27" spans="1:17" x14ac:dyDescent="0.25">
      <c r="A27" s="11">
        <v>23</v>
      </c>
      <c r="B27" s="11" t="str">
        <f t="shared" ca="1" si="0"/>
        <v>Severe</v>
      </c>
      <c r="C27" s="11">
        <f t="shared" ca="1" si="1"/>
        <v>0.8</v>
      </c>
      <c r="D27" s="11">
        <f t="shared" ca="1" si="2"/>
        <v>0</v>
      </c>
      <c r="E27" s="11">
        <f t="shared" ca="1" si="3"/>
        <v>2</v>
      </c>
      <c r="F27" s="36">
        <f t="shared" ca="1" si="4"/>
        <v>1.1859877343391865</v>
      </c>
      <c r="G27" s="11">
        <f t="shared" ca="1" si="5"/>
        <v>0.12607122326958176</v>
      </c>
      <c r="H27" s="11">
        <f t="shared" ca="1" si="6"/>
        <v>6.4003328236236917E-2</v>
      </c>
      <c r="I27" s="11">
        <f t="shared" ca="1" si="7"/>
        <v>6.0462895262626215E-2</v>
      </c>
      <c r="J27" s="11">
        <f t="shared" ca="1" si="8"/>
        <v>71</v>
      </c>
      <c r="K27" s="11">
        <f t="shared" ca="1" si="9"/>
        <v>95</v>
      </c>
      <c r="L27" s="11">
        <f t="shared" ca="1" si="10"/>
        <v>84</v>
      </c>
      <c r="M27" s="11">
        <f ca="1">MAX(MAX(0,($J27*(1+0.5*Acuity_M))-(Model!$G$24*(1+OTCapPct)*(Cap_Doc*$C27*(1-$G27)))),MAX(0,($J27)-(Model!$G$6*(1+OTCapPct)*(Cap_Nurse*$C27*(1-$H27)))),MAX(0,($J27)-(Model!$G$15*(1+OTCapPct)*(Cap_Tech*$C27*(1-$I27)))),MAX(0,$J27-((BedsCurrent+BedsAdded)*ShiftHours*$F27/BedHr_M)),MAX(0,$J27*Acuity_M-(ImgBase+ImgExpOn*ImgExpAdd)),MAX(0,$J27-(LabBase+LabExpOn*LabExpAdd)))</f>
        <v>0.15641009426235541</v>
      </c>
      <c r="N27" s="11">
        <f ca="1">MAX(MAX(0,($K27*(1+0.5*Acuity_E))-(Model!$G$25*(1+OTCapPct)*(Cap_Doc*$C27*(1-$G27)))),MAX(0,($K27)-(Model!$G$7*(1+OTCapPct)*(Cap_Nurse*$C27*(1-$H27)))),MAX(0,($K27)-(Model!$G$16*(1+OTCapPct)*(Cap_Tech*$C27*(1-$I27)))),MAX(0,$K27-((BedsCurrent+BedsAdded)*ShiftHours*$F27/BedHr_E)),MAX(0,$K27*Acuity_E-(ImgBase+ImgExpOn*ImgExpAdd)),MAX(0,$K27-(LabBase+LabExpOn*LabExpAdd)))</f>
        <v>0</v>
      </c>
      <c r="O27" s="11">
        <f ca="1">MAX(MAX(0,($L27*(1+0.5*Acuity_N))-(Model!$G$26*(1+OTCapPct)*(Cap_Doc*$C27*(1-$G27)))),MAX(0,($L27)-(Model!$G$8*(1+OTCapPct)*(Cap_Nurse*$C27*(1-$H27)))),MAX(0,($L27)-(Model!$G$17*(1+OTCapPct)*(Cap_Tech*$C27*(1-$I27)))),MAX(0,$L27-((BedsCurrent+BedsAdded)*ShiftHours*$F27/BedHr_N)),MAX(0,$L27*Acuity_N-(ImgBase+ImgExpOn*ImgExpAdd)),MAX(0,$L27-(LabBase+LabExpOn*LabExpAdd)))</f>
        <v>33.677128075409883</v>
      </c>
      <c r="P27" s="11">
        <f t="shared" ca="1" si="11"/>
        <v>33.833538169672238</v>
      </c>
      <c r="Q27" s="17">
        <f ca="1">((MIN(OTCapPct*Model!$G$24,MAX(0,(($J27*(1+0.5*Acuity_M))/(Cap_Doc*$C27*(1-$G27)))-Model!$G$24)))*OTCost_Doc)+((MIN(OTCapPct*Model!$G$6,MAX(0,(($J27)/(Cap_Nurse*$C27*(1-$H27)))-Model!$G$6)))*OTCost_Nurse)+((MIN(OTCapPct*Model!$G$15,MAX(0,(($J27)/(Cap_Tech*$C27*(1-$I27)))-Model!$G$15)))*OTCost_Tech)+((MIN(OTCapPct*Model!$G$25,MAX(0,(($K27*(1+0.5*Acuity_E))/(Cap_Doc*$C27*(1-$G27)))-Model!$G$25)))*OTCost_Doc)+((MIN(OTCapPct*Model!$G$7,MAX(0,(($K27)/(Cap_Nurse*$C27*(1-$H27)))-Model!$G$7)))*OTCost_Nurse)+((MIN(OTCapPct*Model!$G$16,MAX(0,(($K27)/(Cap_Tech*$C27*(1-$I27)))-Model!$G$16)))*OTCost_Tech)+((MIN(OTCapPct*Model!$G$26,MAX(0,(($L27*(1+0.5*Acuity_N))/(Cap_Doc*$C27*(1-$G27)))-Model!$G$26)))*OTCost_Doc)+((MIN(OTCapPct*Model!$G$8,MAX(0,(($L27)/(Cap_Nurse*$C27*(1-$H27)))-Model!$G$8)))*OTCost_Nurse)+((MIN(OTCapPct*Model!$G$17,MAX(0,(($L27)/(Cap_Tech*$C27*(1-$I27)))-Model!$G$17)))*OTCost_Tech)</f>
        <v>76819.49121806788</v>
      </c>
    </row>
    <row r="28" spans="1:17" x14ac:dyDescent="0.25">
      <c r="A28" s="11">
        <v>24</v>
      </c>
      <c r="B28" s="11" t="str">
        <f t="shared" ca="1" si="0"/>
        <v>Normal</v>
      </c>
      <c r="C28" s="11">
        <f t="shared" ca="1" si="1"/>
        <v>1</v>
      </c>
      <c r="D28" s="11">
        <f t="shared" ca="1" si="2"/>
        <v>0</v>
      </c>
      <c r="E28" s="11">
        <f t="shared" ca="1" si="3"/>
        <v>1</v>
      </c>
      <c r="F28" s="36">
        <f t="shared" ca="1" si="4"/>
        <v>0.9076386327653484</v>
      </c>
      <c r="G28" s="11">
        <f t="shared" ca="1" si="5"/>
        <v>4.615937374188555E-2</v>
      </c>
      <c r="H28" s="11">
        <f t="shared" ca="1" si="6"/>
        <v>7.8520145568726177E-2</v>
      </c>
      <c r="I28" s="11">
        <f t="shared" ca="1" si="7"/>
        <v>0</v>
      </c>
      <c r="J28" s="11">
        <f t="shared" ca="1" si="8"/>
        <v>86</v>
      </c>
      <c r="K28" s="11">
        <f t="shared" ca="1" si="9"/>
        <v>120</v>
      </c>
      <c r="L28" s="11">
        <f t="shared" ca="1" si="10"/>
        <v>72</v>
      </c>
      <c r="M28" s="11">
        <f ca="1">MAX(MAX(0,($J28*(1+0.5*Acuity_M))-(Model!$G$24*(1+OTCapPct)*(Cap_Doc*$C28*(1-$G28)))),MAX(0,($J28)-(Model!$G$6*(1+OTCapPct)*(Cap_Nurse*$C28*(1-$H28)))),MAX(0,($J28)-(Model!$G$15*(1+OTCapPct)*(Cap_Tech*$C28*(1-$I28)))),MAX(0,$J28-((BedsCurrent+BedsAdded)*ShiftHours*$F28/BedHr_M)),MAX(0,$J28*Acuity_M-(ImgBase+ImgExpOn*ImgExpAdd)),MAX(0,$J28-(LabBase+LabExpOn*LabExpAdd)))</f>
        <v>0</v>
      </c>
      <c r="N28" s="11">
        <f ca="1">MAX(MAX(0,($K28*(1+0.5*Acuity_E))-(Model!$G$25*(1+OTCapPct)*(Cap_Doc*$C28*(1-$G28)))),MAX(0,($K28)-(Model!$G$7*(1+OTCapPct)*(Cap_Nurse*$C28*(1-$H28)))),MAX(0,($K28)-(Model!$G$16*(1+OTCapPct)*(Cap_Tech*$C28*(1-$I28)))),MAX(0,$K28-((BedsCurrent+BedsAdded)*ShiftHours*$F28/BedHr_E)),MAX(0,$K28*Acuity_E-(ImgBase+ImgExpOn*ImgExpAdd)),MAX(0,$K28-(LabBase+LabExpOn*LabExpAdd)))</f>
        <v>25</v>
      </c>
      <c r="O28" s="11">
        <f ca="1">MAX(MAX(0,($L28*(1+0.5*Acuity_N))-(Model!$G$26*(1+OTCapPct)*(Cap_Doc*$C28*(1-$G28)))),MAX(0,($L28)-(Model!$G$8*(1+OTCapPct)*(Cap_Nurse*$C28*(1-$H28)))),MAX(0,($L28)-(Model!$G$17*(1+OTCapPct)*(Cap_Tech*$C28*(1-$I28)))),MAX(0,$L28-((BedsCurrent+BedsAdded)*ShiftHours*$F28/BedHr_N)),MAX(0,$L28*Acuity_N-(ImgBase+ImgExpOn*ImgExpAdd)),MAX(0,$L28-(LabBase+LabExpOn*LabExpAdd)))</f>
        <v>0</v>
      </c>
      <c r="P28" s="11">
        <f t="shared" ca="1" si="11"/>
        <v>25</v>
      </c>
      <c r="Q28" s="17">
        <f ca="1">((MIN(OTCapPct*Model!$G$24,MAX(0,(($J28*(1+0.5*Acuity_M))/(Cap_Doc*$C28*(1-$G28)))-Model!$G$24)))*OTCost_Doc)+((MIN(OTCapPct*Model!$G$6,MAX(0,(($J28)/(Cap_Nurse*$C28*(1-$H28)))-Model!$G$6)))*OTCost_Nurse)+((MIN(OTCapPct*Model!$G$15,MAX(0,(($J28)/(Cap_Tech*$C28*(1-$I28)))-Model!$G$15)))*OTCost_Tech)+((MIN(OTCapPct*Model!$G$25,MAX(0,(($K28*(1+0.5*Acuity_E))/(Cap_Doc*$C28*(1-$G28)))-Model!$G$25)))*OTCost_Doc)+((MIN(OTCapPct*Model!$G$7,MAX(0,(($K28)/(Cap_Nurse*$C28*(1-$H28)))-Model!$G$7)))*OTCost_Nurse)+((MIN(OTCapPct*Model!$G$16,MAX(0,(($K28)/(Cap_Tech*$C28*(1-$I28)))-Model!$G$16)))*OTCost_Tech)+((MIN(OTCapPct*Model!$G$26,MAX(0,(($L28*(1+0.5*Acuity_N))/(Cap_Doc*$C28*(1-$G28)))-Model!$G$26)))*OTCost_Doc)+((MIN(OTCapPct*Model!$G$8,MAX(0,(($L28)/(Cap_Nurse*$C28*(1-$H28)))-Model!$G$8)))*OTCost_Nurse)+((MIN(OTCapPct*Model!$G$17,MAX(0,(($L28)/(Cap_Tech*$C28*(1-$I28)))-Model!$G$17)))*OTCost_Tech)</f>
        <v>45644.742247968941</v>
      </c>
    </row>
    <row r="29" spans="1:17" x14ac:dyDescent="0.25">
      <c r="A29" s="11">
        <v>25</v>
      </c>
      <c r="B29" s="11" t="str">
        <f t="shared" ca="1" si="0"/>
        <v>Normal</v>
      </c>
      <c r="C29" s="11">
        <f t="shared" ca="1" si="1"/>
        <v>1</v>
      </c>
      <c r="D29" s="11">
        <f t="shared" ca="1" si="2"/>
        <v>0</v>
      </c>
      <c r="E29" s="11">
        <f t="shared" ca="1" si="3"/>
        <v>1</v>
      </c>
      <c r="F29" s="36">
        <f t="shared" ca="1" si="4"/>
        <v>0.95625201017615247</v>
      </c>
      <c r="G29" s="11">
        <f t="shared" ca="1" si="5"/>
        <v>1.1270353702981097E-2</v>
      </c>
      <c r="H29" s="11">
        <f t="shared" ca="1" si="6"/>
        <v>3.0185788865176359E-2</v>
      </c>
      <c r="I29" s="11">
        <f t="shared" ca="1" si="7"/>
        <v>7.0424468295725781E-3</v>
      </c>
      <c r="J29" s="11">
        <f t="shared" ca="1" si="8"/>
        <v>63</v>
      </c>
      <c r="K29" s="11">
        <f t="shared" ca="1" si="9"/>
        <v>136</v>
      </c>
      <c r="L29" s="11">
        <f t="shared" ca="1" si="10"/>
        <v>58</v>
      </c>
      <c r="M29" s="11">
        <f ca="1">MAX(MAX(0,($J29*(1+0.5*Acuity_M))-(Model!$G$24*(1+OTCapPct)*(Cap_Doc*$C29*(1-$G29)))),MAX(0,($J29)-(Model!$G$6*(1+OTCapPct)*(Cap_Nurse*$C29*(1-$H29)))),MAX(0,($J29)-(Model!$G$15*(1+OTCapPct)*(Cap_Tech*$C29*(1-$I29)))),MAX(0,$J29-((BedsCurrent+BedsAdded)*ShiftHours*$F29/BedHr_M)),MAX(0,$J29*Acuity_M-(ImgBase+ImgExpOn*ImgExpAdd)),MAX(0,$J29-(LabBase+LabExpOn*LabExpAdd)))</f>
        <v>0</v>
      </c>
      <c r="N29" s="11">
        <f ca="1">MAX(MAX(0,($K29*(1+0.5*Acuity_E))-(Model!$G$25*(1+OTCapPct)*(Cap_Doc*$C29*(1-$G29)))),MAX(0,($K29)-(Model!$G$7*(1+OTCapPct)*(Cap_Nurse*$C29*(1-$H29)))),MAX(0,($K29)-(Model!$G$16*(1+OTCapPct)*(Cap_Tech*$C29*(1-$I29)))),MAX(0,$K29-((BedsCurrent+BedsAdded)*ShiftHours*$F29/BedHr_E)),MAX(0,$K29*Acuity_E-(ImgBase+ImgExpOn*ImgExpAdd)),MAX(0,$K29-(LabBase+LabExpOn*LabExpAdd)))</f>
        <v>41</v>
      </c>
      <c r="O29" s="11">
        <f ca="1">MAX(MAX(0,($L29*(1+0.5*Acuity_N))-(Model!$G$26*(1+OTCapPct)*(Cap_Doc*$C29*(1-$G29)))),MAX(0,($L29)-(Model!$G$8*(1+OTCapPct)*(Cap_Nurse*$C29*(1-$H29)))),MAX(0,($L29)-(Model!$G$17*(1+OTCapPct)*(Cap_Tech*$C29*(1-$I29)))),MAX(0,$L29-((BedsCurrent+BedsAdded)*ShiftHours*$F29/BedHr_N)),MAX(0,$L29*Acuity_N-(ImgBase+ImgExpOn*ImgExpAdd)),MAX(0,$L29-(LabBase+LabExpOn*LabExpAdd)))</f>
        <v>0</v>
      </c>
      <c r="P29" s="11">
        <f t="shared" ca="1" si="11"/>
        <v>41</v>
      </c>
      <c r="Q29" s="17">
        <f ca="1">((MIN(OTCapPct*Model!$G$24,MAX(0,(($J29*(1+0.5*Acuity_M))/(Cap_Doc*$C29*(1-$G29)))-Model!$G$24)))*OTCost_Doc)+((MIN(OTCapPct*Model!$G$6,MAX(0,(($J29)/(Cap_Nurse*$C29*(1-$H29)))-Model!$G$6)))*OTCost_Nurse)+((MIN(OTCapPct*Model!$G$15,MAX(0,(($J29)/(Cap_Tech*$C29*(1-$I29)))-Model!$G$15)))*OTCost_Tech)+((MIN(OTCapPct*Model!$G$25,MAX(0,(($K29*(1+0.5*Acuity_E))/(Cap_Doc*$C29*(1-$G29)))-Model!$G$25)))*OTCost_Doc)+((MIN(OTCapPct*Model!$G$7,MAX(0,(($K29)/(Cap_Nurse*$C29*(1-$H29)))-Model!$G$7)))*OTCost_Nurse)+((MIN(OTCapPct*Model!$G$16,MAX(0,(($K29)/(Cap_Tech*$C29*(1-$I29)))-Model!$G$16)))*OTCost_Tech)+((MIN(OTCapPct*Model!$G$26,MAX(0,(($L29*(1+0.5*Acuity_N))/(Cap_Doc*$C29*(1-$G29)))-Model!$G$26)))*OTCost_Doc)+((MIN(OTCapPct*Model!$G$8,MAX(0,(($L29)/(Cap_Nurse*$C29*(1-$H29)))-Model!$G$8)))*OTCost_Nurse)+((MIN(OTCapPct*Model!$G$17,MAX(0,(($L29)/(Cap_Tech*$C29*(1-$I29)))-Model!$G$17)))*OTCost_Tech)</f>
        <v>36892.44877896642</v>
      </c>
    </row>
    <row r="30" spans="1:17" x14ac:dyDescent="0.25">
      <c r="A30" s="11">
        <v>26</v>
      </c>
      <c r="B30" s="11" t="str">
        <f t="shared" ca="1" si="0"/>
        <v>Normal</v>
      </c>
      <c r="C30" s="11">
        <f t="shared" ca="1" si="1"/>
        <v>1</v>
      </c>
      <c r="D30" s="11">
        <f t="shared" ca="1" si="2"/>
        <v>0</v>
      </c>
      <c r="E30" s="11">
        <f t="shared" ca="1" si="3"/>
        <v>2</v>
      </c>
      <c r="F30" s="36">
        <f t="shared" ca="1" si="4"/>
        <v>0.85521677787712802</v>
      </c>
      <c r="G30" s="11">
        <f t="shared" ca="1" si="5"/>
        <v>0.13325661177409348</v>
      </c>
      <c r="H30" s="11">
        <f t="shared" ca="1" si="6"/>
        <v>5.5189395969281026E-2</v>
      </c>
      <c r="I30" s="11">
        <f t="shared" ca="1" si="7"/>
        <v>7.4326381536769986E-2</v>
      </c>
      <c r="J30" s="11">
        <f t="shared" ca="1" si="8"/>
        <v>98</v>
      </c>
      <c r="K30" s="11">
        <f t="shared" ca="1" si="9"/>
        <v>143</v>
      </c>
      <c r="L30" s="11">
        <f t="shared" ca="1" si="10"/>
        <v>50</v>
      </c>
      <c r="M30" s="11">
        <f ca="1">MAX(MAX(0,($J30*(1+0.5*Acuity_M))-(Model!$G$24*(1+OTCapPct)*(Cap_Doc*$C30*(1-$G30)))),MAX(0,($J30)-(Model!$G$6*(1+OTCapPct)*(Cap_Nurse*$C30*(1-$H30)))),MAX(0,($J30)-(Model!$G$15*(1+OTCapPct)*(Cap_Tech*$C30*(1-$I30)))),MAX(0,$J30-((BedsCurrent+BedsAdded)*ShiftHours*$F30/BedHr_M)),MAX(0,$J30*Acuity_M-(ImgBase+ImgExpOn*ImgExpAdd)),MAX(0,$J30-(LabBase+LabExpOn*LabExpAdd)))</f>
        <v>11.271368824585537</v>
      </c>
      <c r="N30" s="11">
        <f ca="1">MAX(MAX(0,($K30*(1+0.5*Acuity_E))-(Model!$G$25*(1+OTCapPct)*(Cap_Doc*$C30*(1-$G30)))),MAX(0,($K30)-(Model!$G$7*(1+OTCapPct)*(Cap_Nurse*$C30*(1-$H30)))),MAX(0,($K30)-(Model!$G$16*(1+OTCapPct)*(Cap_Tech*$C30*(1-$I30)))),MAX(0,$K30-((BedsCurrent+BedsAdded)*ShiftHours*$F30/BedHr_E)),MAX(0,$K30*Acuity_E-(ImgBase+ImgExpOn*ImgExpAdd)),MAX(0,$K30-(LabBase+LabExpOn*LabExpAdd)))</f>
        <v>49.952414566968471</v>
      </c>
      <c r="O30" s="11">
        <f ca="1">MAX(MAX(0,($L30*(1+0.5*Acuity_N))-(Model!$G$26*(1+OTCapPct)*(Cap_Doc*$C30*(1-$G30)))),MAX(0,($L30)-(Model!$G$8*(1+OTCapPct)*(Cap_Nurse*$C30*(1-$H30)))),MAX(0,($L30)-(Model!$G$17*(1+OTCapPct)*(Cap_Tech*$C30*(1-$I30)))),MAX(0,$L30-((BedsCurrent+BedsAdded)*ShiftHours*$F30/BedHr_N)),MAX(0,$L30*Acuity_N-(ImgBase+ImgExpOn*ImgExpAdd)),MAX(0,$L30-(LabBase+LabExpOn*LabExpAdd)))</f>
        <v>0</v>
      </c>
      <c r="P30" s="11">
        <f t="shared" ca="1" si="11"/>
        <v>61.223783391554008</v>
      </c>
      <c r="Q30" s="17">
        <f ca="1">((MIN(OTCapPct*Model!$G$24,MAX(0,(($J30*(1+0.5*Acuity_M))/(Cap_Doc*$C30*(1-$G30)))-Model!$G$24)))*OTCost_Doc)+((MIN(OTCapPct*Model!$G$6,MAX(0,(($J30)/(Cap_Nurse*$C30*(1-$H30)))-Model!$G$6)))*OTCost_Nurse)+((MIN(OTCapPct*Model!$G$15,MAX(0,(($J30)/(Cap_Tech*$C30*(1-$I30)))-Model!$G$15)))*OTCost_Tech)+((MIN(OTCapPct*Model!$G$25,MAX(0,(($K30*(1+0.5*Acuity_E))/(Cap_Doc*$C30*(1-$G30)))-Model!$G$25)))*OTCost_Doc)+((MIN(OTCapPct*Model!$G$7,MAX(0,(($K30)/(Cap_Nurse*$C30*(1-$H30)))-Model!$G$7)))*OTCost_Nurse)+((MIN(OTCapPct*Model!$G$16,MAX(0,(($K30)/(Cap_Tech*$C30*(1-$I30)))-Model!$G$16)))*OTCost_Tech)+((MIN(OTCapPct*Model!$G$26,MAX(0,(($L30*(1+0.5*Acuity_N))/(Cap_Doc*$C30*(1-$G30)))-Model!$G$26)))*OTCost_Doc)+((MIN(OTCapPct*Model!$G$8,MAX(0,(($L30)/(Cap_Nurse*$C30*(1-$H30)))-Model!$G$8)))*OTCost_Nurse)+((MIN(OTCapPct*Model!$G$17,MAX(0,(($L30)/(Cap_Tech*$C30*(1-$I30)))-Model!$G$17)))*OTCost_Tech)</f>
        <v>75078.90793822761</v>
      </c>
    </row>
    <row r="31" spans="1:17" x14ac:dyDescent="0.25">
      <c r="A31" s="11">
        <v>27</v>
      </c>
      <c r="B31" s="11" t="str">
        <f t="shared" ca="1" si="0"/>
        <v>Severe</v>
      </c>
      <c r="C31" s="11">
        <f t="shared" ca="1" si="1"/>
        <v>0.8</v>
      </c>
      <c r="D31" s="11">
        <f t="shared" ca="1" si="2"/>
        <v>0</v>
      </c>
      <c r="E31" s="11">
        <f t="shared" ca="1" si="3"/>
        <v>3</v>
      </c>
      <c r="F31" s="36">
        <f t="shared" ca="1" si="4"/>
        <v>0.92245967317529454</v>
      </c>
      <c r="G31" s="11">
        <f t="shared" ca="1" si="5"/>
        <v>3.0398671979188344E-2</v>
      </c>
      <c r="H31" s="11">
        <f t="shared" ca="1" si="6"/>
        <v>3.6058302691844221E-2</v>
      </c>
      <c r="I31" s="11">
        <f t="shared" ca="1" si="7"/>
        <v>9.0675029430475645E-2</v>
      </c>
      <c r="J31" s="11">
        <f t="shared" ca="1" si="8"/>
        <v>73</v>
      </c>
      <c r="K31" s="11">
        <f t="shared" ca="1" si="9"/>
        <v>156</v>
      </c>
      <c r="L31" s="11">
        <f t="shared" ca="1" si="10"/>
        <v>49</v>
      </c>
      <c r="M31" s="11">
        <f ca="1">MAX(MAX(0,($J31*(1+0.5*Acuity_M))-(Model!$G$24*(1+OTCapPct)*(Cap_Doc*$C31*(1-$G31)))),MAX(0,($J31)-(Model!$G$6*(1+OTCapPct)*(Cap_Nurse*$C31*(1-$H31)))),MAX(0,($J31)-(Model!$G$15*(1+OTCapPct)*(Cap_Tech*$C31*(1-$I31)))),MAX(0,$J31-((BedsCurrent+BedsAdded)*ShiftHours*$F31/BedHr_M)),MAX(0,$J31*Acuity_M-(ImgBase+ImgExpOn*ImgExpAdd)),MAX(0,$J31-(LabBase+LabExpOn*LabExpAdd)))</f>
        <v>0</v>
      </c>
      <c r="N31" s="11">
        <f ca="1">MAX(MAX(0,($K31*(1+0.5*Acuity_E))-(Model!$G$25*(1+OTCapPct)*(Cap_Doc*$C31*(1-$G31)))),MAX(0,($K31)-(Model!$G$7*(1+OTCapPct)*(Cap_Nurse*$C31*(1-$H31)))),MAX(0,($K31)-(Model!$G$16*(1+OTCapPct)*(Cap_Tech*$C31*(1-$I31)))),MAX(0,$K31-((BedsCurrent+BedsAdded)*ShiftHours*$F31/BedHr_E)),MAX(0,$K31*Acuity_E-(ImgBase+ImgExpOn*ImgExpAdd)),MAX(0,$K31-(LabBase+LabExpOn*LabExpAdd)))</f>
        <v>61</v>
      </c>
      <c r="O31" s="11">
        <f ca="1">MAX(MAX(0,($L31*(1+0.5*Acuity_N))-(Model!$G$26*(1+OTCapPct)*(Cap_Doc*$C31*(1-$G31)))),MAX(0,($L31)-(Model!$G$8*(1+OTCapPct)*(Cap_Nurse*$C31*(1-$H31)))),MAX(0,($L31)-(Model!$G$17*(1+OTCapPct)*(Cap_Tech*$C31*(1-$I31)))),MAX(0,$L31-((BedsCurrent+BedsAdded)*ShiftHours*$F31/BedHr_N)),MAX(0,$L31*Acuity_N-(ImgBase+ImgExpOn*ImgExpAdd)),MAX(0,$L31-(LabBase+LabExpOn*LabExpAdd)))</f>
        <v>0</v>
      </c>
      <c r="P31" s="11">
        <f t="shared" ca="1" si="11"/>
        <v>61</v>
      </c>
      <c r="Q31" s="17">
        <f ca="1">((MIN(OTCapPct*Model!$G$24,MAX(0,(($J31*(1+0.5*Acuity_M))/(Cap_Doc*$C31*(1-$G31)))-Model!$G$24)))*OTCost_Doc)+((MIN(OTCapPct*Model!$G$6,MAX(0,(($J31)/(Cap_Nurse*$C31*(1-$H31)))-Model!$G$6)))*OTCost_Nurse)+((MIN(OTCapPct*Model!$G$15,MAX(0,(($J31)/(Cap_Tech*$C31*(1-$I31)))-Model!$G$15)))*OTCost_Tech)+((MIN(OTCapPct*Model!$G$25,MAX(0,(($K31*(1+0.5*Acuity_E))/(Cap_Doc*$C31*(1-$G31)))-Model!$G$25)))*OTCost_Doc)+((MIN(OTCapPct*Model!$G$7,MAX(0,(($K31)/(Cap_Nurse*$C31*(1-$H31)))-Model!$G$7)))*OTCost_Nurse)+((MIN(OTCapPct*Model!$G$16,MAX(0,(($K31)/(Cap_Tech*$C31*(1-$I31)))-Model!$G$16)))*OTCost_Tech)+((MIN(OTCapPct*Model!$G$26,MAX(0,(($L31*(1+0.5*Acuity_N))/(Cap_Doc*$C31*(1-$G31)))-Model!$G$26)))*OTCost_Doc)+((MIN(OTCapPct*Model!$G$8,MAX(0,(($L31)/(Cap_Nurse*$C31*(1-$H31)))-Model!$G$8)))*OTCost_Nurse)+((MIN(OTCapPct*Model!$G$17,MAX(0,(($L31)/(Cap_Tech*$C31*(1-$I31)))-Model!$G$17)))*OTCost_Tech)</f>
        <v>63707.525687474503</v>
      </c>
    </row>
    <row r="32" spans="1:17" x14ac:dyDescent="0.25">
      <c r="A32" s="11">
        <v>28</v>
      </c>
      <c r="B32" s="11" t="str">
        <f t="shared" ca="1" si="0"/>
        <v>Complex</v>
      </c>
      <c r="C32" s="11">
        <f t="shared" ca="1" si="1"/>
        <v>0.9</v>
      </c>
      <c r="D32" s="11">
        <f t="shared" ca="1" si="2"/>
        <v>0</v>
      </c>
      <c r="E32" s="11">
        <f t="shared" ca="1" si="3"/>
        <v>3</v>
      </c>
      <c r="F32" s="36">
        <f t="shared" ca="1" si="4"/>
        <v>1.1204045449434057</v>
      </c>
      <c r="G32" s="11">
        <f t="shared" ca="1" si="5"/>
        <v>0</v>
      </c>
      <c r="H32" s="11">
        <f t="shared" ca="1" si="6"/>
        <v>0</v>
      </c>
      <c r="I32" s="11">
        <f t="shared" ca="1" si="7"/>
        <v>0.13459018431923814</v>
      </c>
      <c r="J32" s="11">
        <f t="shared" ca="1" si="8"/>
        <v>82</v>
      </c>
      <c r="K32" s="11">
        <f t="shared" ca="1" si="9"/>
        <v>102</v>
      </c>
      <c r="L32" s="11">
        <f t="shared" ca="1" si="10"/>
        <v>72</v>
      </c>
      <c r="M32" s="11">
        <f ca="1">MAX(MAX(0,($J32*(1+0.5*Acuity_M))-(Model!$G$24*(1+OTCapPct)*(Cap_Doc*$C32*(1-$G32)))),MAX(0,($J32)-(Model!$G$6*(1+OTCapPct)*(Cap_Nurse*$C32*(1-$H32)))),MAX(0,($J32)-(Model!$G$15*(1+OTCapPct)*(Cap_Tech*$C32*(1-$I32)))),MAX(0,$J32-((BedsCurrent+BedsAdded)*ShiftHours*$F32/BedHr_M)),MAX(0,$J32*Acuity_M-(ImgBase+ImgExpOn*ImgExpAdd)),MAX(0,$J32-(LabBase+LabExpOn*LabExpAdd)))</f>
        <v>0</v>
      </c>
      <c r="N32" s="11">
        <f ca="1">MAX(MAX(0,($K32*(1+0.5*Acuity_E))-(Model!$G$25*(1+OTCapPct)*(Cap_Doc*$C32*(1-$G32)))),MAX(0,($K32)-(Model!$G$7*(1+OTCapPct)*(Cap_Nurse*$C32*(1-$H32)))),MAX(0,($K32)-(Model!$G$16*(1+OTCapPct)*(Cap_Tech*$C32*(1-$I32)))),MAX(0,$K32-((BedsCurrent+BedsAdded)*ShiftHours*$F32/BedHr_E)),MAX(0,$K32*Acuity_E-(ImgBase+ImgExpOn*ImgExpAdd)),MAX(0,$K32-(LabBase+LabExpOn*LabExpAdd)))</f>
        <v>7</v>
      </c>
      <c r="O32" s="11">
        <f ca="1">MAX(MAX(0,($L32*(1+0.5*Acuity_N))-(Model!$G$26*(1+OTCapPct)*(Cap_Doc*$C32*(1-$G32)))),MAX(0,($L32)-(Model!$G$8*(1+OTCapPct)*(Cap_Nurse*$C32*(1-$H32)))),MAX(0,($L32)-(Model!$G$17*(1+OTCapPct)*(Cap_Tech*$C32*(1-$I32)))),MAX(0,$L32-((BedsCurrent+BedsAdded)*ShiftHours*$F32/BedHr_N)),MAX(0,$L32*Acuity_N-(ImgBase+ImgExpOn*ImgExpAdd)),MAX(0,$L32-(LabBase+LabExpOn*LabExpAdd)))</f>
        <v>1.7999999999999972</v>
      </c>
      <c r="P32" s="11">
        <f t="shared" ca="1" si="11"/>
        <v>8.7999999999999972</v>
      </c>
      <c r="Q32" s="17">
        <f ca="1">((MIN(OTCapPct*Model!$G$24,MAX(0,(($J32*(1+0.5*Acuity_M))/(Cap_Doc*$C32*(1-$G32)))-Model!$G$24)))*OTCost_Doc)+((MIN(OTCapPct*Model!$G$6,MAX(0,(($J32)/(Cap_Nurse*$C32*(1-$H32)))-Model!$G$6)))*OTCost_Nurse)+((MIN(OTCapPct*Model!$G$15,MAX(0,(($J32)/(Cap_Tech*$C32*(1-$I32)))-Model!$G$15)))*OTCost_Tech)+((MIN(OTCapPct*Model!$G$25,MAX(0,(($K32*(1+0.5*Acuity_E))/(Cap_Doc*$C32*(1-$G32)))-Model!$G$25)))*OTCost_Doc)+((MIN(OTCapPct*Model!$G$7,MAX(0,(($K32)/(Cap_Nurse*$C32*(1-$H32)))-Model!$G$7)))*OTCost_Nurse)+((MIN(OTCapPct*Model!$G$16,MAX(0,(($K32)/(Cap_Tech*$C32*(1-$I32)))-Model!$G$16)))*OTCost_Tech)+((MIN(OTCapPct*Model!$G$26,MAX(0,(($L32*(1+0.5*Acuity_N))/(Cap_Doc*$C32*(1-$G32)))-Model!$G$26)))*OTCost_Doc)+((MIN(OTCapPct*Model!$G$8,MAX(0,(($L32)/(Cap_Nurse*$C32*(1-$H32)))-Model!$G$8)))*OTCost_Nurse)+((MIN(OTCapPct*Model!$G$17,MAX(0,(($L32)/(Cap_Tech*$C32*(1-$I32)))-Model!$G$17)))*OTCost_Tech)</f>
        <v>37215.48296828242</v>
      </c>
    </row>
    <row r="33" spans="1:17" x14ac:dyDescent="0.25">
      <c r="A33" s="11">
        <v>29</v>
      </c>
      <c r="B33" s="11" t="str">
        <f t="shared" ca="1" si="0"/>
        <v>Severe</v>
      </c>
      <c r="C33" s="11">
        <f t="shared" ca="1" si="1"/>
        <v>0.8</v>
      </c>
      <c r="D33" s="11">
        <f t="shared" ca="1" si="2"/>
        <v>0</v>
      </c>
      <c r="E33" s="11">
        <f t="shared" ca="1" si="3"/>
        <v>2</v>
      </c>
      <c r="F33" s="36">
        <f t="shared" ca="1" si="4"/>
        <v>0.89030520085561704</v>
      </c>
      <c r="G33" s="11">
        <f t="shared" ca="1" si="5"/>
        <v>9.0384418665858196E-2</v>
      </c>
      <c r="H33" s="11">
        <f t="shared" ca="1" si="6"/>
        <v>9.2464019226527611E-2</v>
      </c>
      <c r="I33" s="11">
        <f t="shared" ca="1" si="7"/>
        <v>4.1668487017023706E-2</v>
      </c>
      <c r="J33" s="11">
        <f t="shared" ca="1" si="8"/>
        <v>61</v>
      </c>
      <c r="K33" s="11">
        <f t="shared" ca="1" si="9"/>
        <v>122</v>
      </c>
      <c r="L33" s="11">
        <f t="shared" ca="1" si="10"/>
        <v>67</v>
      </c>
      <c r="M33" s="11">
        <f ca="1">MAX(MAX(0,($J33*(1+0.5*Acuity_M))-(Model!$G$24*(1+OTCapPct)*(Cap_Doc*$C33*(1-$G33)))),MAX(0,($J33)-(Model!$G$6*(1+OTCapPct)*(Cap_Nurse*$C33*(1-$H33)))),MAX(0,($J33)-(Model!$G$15*(1+OTCapPct)*(Cap_Tech*$C33*(1-$I33)))),MAX(0,$J33-((BedsCurrent+BedsAdded)*ShiftHours*$F33/BedHr_M)),MAX(0,$J33*Acuity_M-(ImgBase+ImgExpOn*ImgExpAdd)),MAX(0,$J33-(LabBase+LabExpOn*LabExpAdd)))</f>
        <v>0</v>
      </c>
      <c r="N33" s="11">
        <f ca="1">MAX(MAX(0,($K33*(1+0.5*Acuity_E))-(Model!$G$25*(1+OTCapPct)*(Cap_Doc*$C33*(1-$G33)))),MAX(0,($K33)-(Model!$G$7*(1+OTCapPct)*(Cap_Nurse*$C33*(1-$H33)))),MAX(0,($K33)-(Model!$G$16*(1+OTCapPct)*(Cap_Tech*$C33*(1-$I33)))),MAX(0,$K33-((BedsCurrent+BedsAdded)*ShiftHours*$F33/BedHr_E)),MAX(0,$K33*Acuity_E-(ImgBase+ImgExpOn*ImgExpAdd)),MAX(0,$K33-(LabBase+LabExpOn*LabExpAdd)))</f>
        <v>27</v>
      </c>
      <c r="O33" s="11">
        <f ca="1">MAX(MAX(0,($L33*(1+0.5*Acuity_N))-(Model!$G$26*(1+OTCapPct)*(Cap_Doc*$C33*(1-$G33)))),MAX(0,($L33)-(Model!$G$8*(1+OTCapPct)*(Cap_Nurse*$C33*(1-$H33)))),MAX(0,($L33)-(Model!$G$17*(1+OTCapPct)*(Cap_Tech*$C33*(1-$I33)))),MAX(0,$L33-((BedsCurrent+BedsAdded)*ShiftHours*$F33/BedHr_N)),MAX(0,$L33*Acuity_N-(ImgBase+ImgExpOn*ImgExpAdd)),MAX(0,$L33-(LabBase+LabExpOn*LabExpAdd)))</f>
        <v>11.557678143941786</v>
      </c>
      <c r="P33" s="11">
        <f t="shared" ca="1" si="11"/>
        <v>38.557678143941786</v>
      </c>
      <c r="Q33" s="17">
        <f ca="1">((MIN(OTCapPct*Model!$G$24,MAX(0,(($J33*(1+0.5*Acuity_M))/(Cap_Doc*$C33*(1-$G33)))-Model!$G$24)))*OTCost_Doc)+((MIN(OTCapPct*Model!$G$6,MAX(0,(($J33)/(Cap_Nurse*$C33*(1-$H33)))-Model!$G$6)))*OTCost_Nurse)+((MIN(OTCapPct*Model!$G$15,MAX(0,(($J33)/(Cap_Tech*$C33*(1-$I33)))-Model!$G$15)))*OTCost_Tech)+((MIN(OTCapPct*Model!$G$25,MAX(0,(($K33*(1+0.5*Acuity_E))/(Cap_Doc*$C33*(1-$G33)))-Model!$G$25)))*OTCost_Doc)+((MIN(OTCapPct*Model!$G$7,MAX(0,(($K33)/(Cap_Nurse*$C33*(1-$H33)))-Model!$G$7)))*OTCost_Nurse)+((MIN(OTCapPct*Model!$G$16,MAX(0,(($K33)/(Cap_Tech*$C33*(1-$I33)))-Model!$G$16)))*OTCost_Tech)+((MIN(OTCapPct*Model!$G$26,MAX(0,(($L33*(1+0.5*Acuity_N))/(Cap_Doc*$C33*(1-$G33)))-Model!$G$26)))*OTCost_Doc)+((MIN(OTCapPct*Model!$G$8,MAX(0,(($L33)/(Cap_Nurse*$C33*(1-$H33)))-Model!$G$8)))*OTCost_Nurse)+((MIN(OTCapPct*Model!$G$17,MAX(0,(($L33)/(Cap_Tech*$C33*(1-$I33)))-Model!$G$17)))*OTCost_Tech)</f>
        <v>70420.794601440313</v>
      </c>
    </row>
    <row r="34" spans="1:17" x14ac:dyDescent="0.25">
      <c r="A34" s="11">
        <v>30</v>
      </c>
      <c r="B34" s="11" t="str">
        <f t="shared" ca="1" si="0"/>
        <v>Normal</v>
      </c>
      <c r="C34" s="11">
        <f t="shared" ca="1" si="1"/>
        <v>1</v>
      </c>
      <c r="D34" s="11">
        <f t="shared" ca="1" si="2"/>
        <v>0</v>
      </c>
      <c r="E34" s="11">
        <f t="shared" ca="1" si="3"/>
        <v>3</v>
      </c>
      <c r="F34" s="36">
        <f t="shared" ca="1" si="4"/>
        <v>0.95179000656101509</v>
      </c>
      <c r="G34" s="11">
        <f t="shared" ca="1" si="5"/>
        <v>9.9521685801288173E-2</v>
      </c>
      <c r="H34" s="11">
        <f t="shared" ca="1" si="6"/>
        <v>7.1533694713573792E-2</v>
      </c>
      <c r="I34" s="11">
        <f t="shared" ca="1" si="7"/>
        <v>0.12658934728686483</v>
      </c>
      <c r="J34" s="11">
        <f t="shared" ca="1" si="8"/>
        <v>99</v>
      </c>
      <c r="K34" s="11">
        <f t="shared" ca="1" si="9"/>
        <v>136</v>
      </c>
      <c r="L34" s="11">
        <f t="shared" ca="1" si="10"/>
        <v>61</v>
      </c>
      <c r="M34" s="11">
        <f ca="1">MAX(MAX(0,($J34*(1+0.5*Acuity_M))-(Model!$G$24*(1+OTCapPct)*(Cap_Doc*$C34*(1-$G34)))),MAX(0,($J34)-(Model!$G$6*(1+OTCapPct)*(Cap_Nurse*$C34*(1-$H34)))),MAX(0,($J34)-(Model!$G$15*(1+OTCapPct)*(Cap_Tech*$C34*(1-$I34)))),MAX(0,$J34-((BedsCurrent+BedsAdded)*ShiftHours*$F34/BedHr_M)),MAX(0,$J34*Acuity_M-(ImgBase+ImgExpOn*ImgExpAdd)),MAX(0,$J34-(LabBase+LabExpOn*LabExpAdd)))</f>
        <v>8.586189652644947</v>
      </c>
      <c r="N34" s="11">
        <f ca="1">MAX(MAX(0,($K34*(1+0.5*Acuity_E))-(Model!$G$25*(1+OTCapPct)*(Cap_Doc*$C34*(1-$G34)))),MAX(0,($K34)-(Model!$G$7*(1+OTCapPct)*(Cap_Nurse*$C34*(1-$H34)))),MAX(0,($K34)-(Model!$G$16*(1+OTCapPct)*(Cap_Tech*$C34*(1-$I34)))),MAX(0,$K34-((BedsCurrent+BedsAdded)*ShiftHours*$F34/BedHr_E)),MAX(0,$K34*Acuity_E-(ImgBase+ImgExpOn*ImgExpAdd)),MAX(0,$K34-(LabBase+LabExpOn*LabExpAdd)))</f>
        <v>41</v>
      </c>
      <c r="O34" s="11">
        <f ca="1">MAX(MAX(0,($L34*(1+0.5*Acuity_N))-(Model!$G$26*(1+OTCapPct)*(Cap_Doc*$C34*(1-$G34)))),MAX(0,($L34)-(Model!$G$8*(1+OTCapPct)*(Cap_Nurse*$C34*(1-$H34)))),MAX(0,($L34)-(Model!$G$17*(1+OTCapPct)*(Cap_Tech*$C34*(1-$I34)))),MAX(0,$L34-((BedsCurrent+BedsAdded)*ShiftHours*$F34/BedHr_N)),MAX(0,$L34*Acuity_N-(ImgBase+ImgExpOn*ImgExpAdd)),MAX(0,$L34-(LabBase+LabExpOn*LabExpAdd)))</f>
        <v>0</v>
      </c>
      <c r="P34" s="11">
        <f t="shared" ca="1" si="11"/>
        <v>49.586189652644947</v>
      </c>
      <c r="Q34" s="17">
        <f ca="1">((MIN(OTCapPct*Model!$G$24,MAX(0,(($J34*(1+0.5*Acuity_M))/(Cap_Doc*$C34*(1-$G34)))-Model!$G$24)))*OTCost_Doc)+((MIN(OTCapPct*Model!$G$6,MAX(0,(($J34)/(Cap_Nurse*$C34*(1-$H34)))-Model!$G$6)))*OTCost_Nurse)+((MIN(OTCapPct*Model!$G$15,MAX(0,(($J34)/(Cap_Tech*$C34*(1-$I34)))-Model!$G$15)))*OTCost_Tech)+((MIN(OTCapPct*Model!$G$25,MAX(0,(($K34*(1+0.5*Acuity_E))/(Cap_Doc*$C34*(1-$G34)))-Model!$G$25)))*OTCost_Doc)+((MIN(OTCapPct*Model!$G$7,MAX(0,(($K34)/(Cap_Nurse*$C34*(1-$H34)))-Model!$G$7)))*OTCost_Nurse)+((MIN(OTCapPct*Model!$G$16,MAX(0,(($K34)/(Cap_Tech*$C34*(1-$I34)))-Model!$G$16)))*OTCost_Tech)+((MIN(OTCapPct*Model!$G$26,MAX(0,(($L34*(1+0.5*Acuity_N))/(Cap_Doc*$C34*(1-$G34)))-Model!$G$26)))*OTCost_Doc)+((MIN(OTCapPct*Model!$G$8,MAX(0,(($L34)/(Cap_Nurse*$C34*(1-$H34)))-Model!$G$8)))*OTCost_Nurse)+((MIN(OTCapPct*Model!$G$17,MAX(0,(($L34)/(Cap_Tech*$C34*(1-$I34)))-Model!$G$17)))*OTCost_Tech)</f>
        <v>79394.597209791129</v>
      </c>
    </row>
    <row r="35" spans="1:17" x14ac:dyDescent="0.25">
      <c r="A35" s="11">
        <v>31</v>
      </c>
      <c r="B35" s="11" t="str">
        <f t="shared" ca="1" si="0"/>
        <v>Severe</v>
      </c>
      <c r="C35" s="11">
        <f t="shared" ca="1" si="1"/>
        <v>0.8</v>
      </c>
      <c r="D35" s="11">
        <f t="shared" ca="1" si="2"/>
        <v>0</v>
      </c>
      <c r="E35" s="11">
        <f t="shared" ca="1" si="3"/>
        <v>3</v>
      </c>
      <c r="F35" s="36">
        <f t="shared" ca="1" si="4"/>
        <v>0.91568166619220603</v>
      </c>
      <c r="G35" s="11">
        <f t="shared" ca="1" si="5"/>
        <v>0.10482177181369412</v>
      </c>
      <c r="H35" s="11">
        <f t="shared" ca="1" si="6"/>
        <v>9.0498687609061754E-2</v>
      </c>
      <c r="I35" s="11">
        <f t="shared" ca="1" si="7"/>
        <v>0.14622441829830432</v>
      </c>
      <c r="J35" s="11">
        <f t="shared" ca="1" si="8"/>
        <v>89</v>
      </c>
      <c r="K35" s="11">
        <f t="shared" ca="1" si="9"/>
        <v>71</v>
      </c>
      <c r="L35" s="11">
        <f t="shared" ca="1" si="10"/>
        <v>55</v>
      </c>
      <c r="M35" s="11">
        <f ca="1">MAX(MAX(0,($J35*(1+0.5*Acuity_M))-(Model!$G$24*(1+OTCapPct)*(Cap_Doc*$C35*(1-$G35)))),MAX(0,($J35)-(Model!$G$6*(1+OTCapPct)*(Cap_Nurse*$C35*(1-$H35)))),MAX(0,($J35)-(Model!$G$15*(1+OTCapPct)*(Cap_Tech*$C35*(1-$I35)))),MAX(0,$J35-((BedsCurrent+BedsAdded)*ShiftHours*$F35/BedHr_M)),MAX(0,$J35*Acuity_M-(ImgBase+ImgExpOn*ImgExpAdd)),MAX(0,$J35-(LabBase+LabExpOn*LabExpAdd)))</f>
        <v>18.223959463232475</v>
      </c>
      <c r="N35" s="11">
        <f ca="1">MAX(MAX(0,($K35*(1+0.5*Acuity_E))-(Model!$G$25*(1+OTCapPct)*(Cap_Doc*$C35*(1-$G35)))),MAX(0,($K35)-(Model!$G$7*(1+OTCapPct)*(Cap_Nurse*$C35*(1-$H35)))),MAX(0,($K35)-(Model!$G$16*(1+OTCapPct)*(Cap_Tech*$C35*(1-$I35)))),MAX(0,$K35-((BedsCurrent+BedsAdded)*ShiftHours*$F35/BedHr_E)),MAX(0,$K35*Acuity_E-(ImgBase+ImgExpOn*ImgExpAdd)),MAX(0,$K35-(LabBase+LabExpOn*LabExpAdd)))</f>
        <v>0</v>
      </c>
      <c r="O35" s="11">
        <f ca="1">MAX(MAX(0,($L35*(1+0.5*Acuity_N))-(Model!$G$26*(1+OTCapPct)*(Cap_Doc*$C35*(1-$G35)))),MAX(0,($L35)-(Model!$G$8*(1+OTCapPct)*(Cap_Nurse*$C35*(1-$H35)))),MAX(0,($L35)-(Model!$G$17*(1+OTCapPct)*(Cap_Tech*$C35*(1-$I35)))),MAX(0,$L35-((BedsCurrent+BedsAdded)*ShiftHours*$F35/BedHr_N)),MAX(0,$L35*Acuity_N-(ImgBase+ImgExpOn*ImgExpAdd)),MAX(0,$L35-(LabBase+LabExpOn*LabExpAdd)))</f>
        <v>0</v>
      </c>
      <c r="P35" s="11">
        <f t="shared" ca="1" si="11"/>
        <v>18.223959463232475</v>
      </c>
      <c r="Q35" s="17">
        <f ca="1">((MIN(OTCapPct*Model!$G$24,MAX(0,(($J35*(1+0.5*Acuity_M))/(Cap_Doc*$C35*(1-$G35)))-Model!$G$24)))*OTCost_Doc)+((MIN(OTCapPct*Model!$G$6,MAX(0,(($J35)/(Cap_Nurse*$C35*(1-$H35)))-Model!$G$6)))*OTCost_Nurse)+((MIN(OTCapPct*Model!$G$15,MAX(0,(($J35)/(Cap_Tech*$C35*(1-$I35)))-Model!$G$15)))*OTCost_Tech)+((MIN(OTCapPct*Model!$G$25,MAX(0,(($K35*(1+0.5*Acuity_E))/(Cap_Doc*$C35*(1-$G35)))-Model!$G$25)))*OTCost_Doc)+((MIN(OTCapPct*Model!$G$7,MAX(0,(($K35)/(Cap_Nurse*$C35*(1-$H35)))-Model!$G$7)))*OTCost_Nurse)+((MIN(OTCapPct*Model!$G$16,MAX(0,(($K35)/(Cap_Tech*$C35*(1-$I35)))-Model!$G$16)))*OTCost_Tech)+((MIN(OTCapPct*Model!$G$26,MAX(0,(($L35*(1+0.5*Acuity_N))/(Cap_Doc*$C35*(1-$G35)))-Model!$G$26)))*OTCost_Doc)+((MIN(OTCapPct*Model!$G$8,MAX(0,(($L35)/(Cap_Nurse*$C35*(1-$H35)))-Model!$G$8)))*OTCost_Nurse)+((MIN(OTCapPct*Model!$G$17,MAX(0,(($L35)/(Cap_Tech*$C35*(1-$I35)))-Model!$G$17)))*OTCost_Tech)</f>
        <v>46185.357964447066</v>
      </c>
    </row>
    <row r="36" spans="1:17" x14ac:dyDescent="0.25">
      <c r="A36" s="11">
        <v>32</v>
      </c>
      <c r="B36" s="11" t="str">
        <f t="shared" ca="1" si="0"/>
        <v>Complex</v>
      </c>
      <c r="C36" s="11">
        <f t="shared" ca="1" si="1"/>
        <v>0.9</v>
      </c>
      <c r="D36" s="11">
        <f t="shared" ca="1" si="2"/>
        <v>0</v>
      </c>
      <c r="E36" s="11">
        <f t="shared" ca="1" si="3"/>
        <v>3</v>
      </c>
      <c r="F36" s="36">
        <f t="shared" ca="1" si="4"/>
        <v>1.1221287042172614</v>
      </c>
      <c r="G36" s="11">
        <f t="shared" ca="1" si="5"/>
        <v>3.5836270491381023E-3</v>
      </c>
      <c r="H36" s="11">
        <f t="shared" ca="1" si="6"/>
        <v>8.1284934781629362E-2</v>
      </c>
      <c r="I36" s="11">
        <f t="shared" ca="1" si="7"/>
        <v>0</v>
      </c>
      <c r="J36" s="11">
        <f t="shared" ca="1" si="8"/>
        <v>83</v>
      </c>
      <c r="K36" s="11">
        <f t="shared" ca="1" si="9"/>
        <v>100</v>
      </c>
      <c r="L36" s="11">
        <f t="shared" ca="1" si="10"/>
        <v>56</v>
      </c>
      <c r="M36" s="11">
        <f ca="1">MAX(MAX(0,($J36*(1+0.5*Acuity_M))-(Model!$G$24*(1+OTCapPct)*(Cap_Doc*$C36*(1-$G36)))),MAX(0,($J36)-(Model!$G$6*(1+OTCapPct)*(Cap_Nurse*$C36*(1-$H36)))),MAX(0,($J36)-(Model!$G$15*(1+OTCapPct)*(Cap_Tech*$C36*(1-$I36)))),MAX(0,$J36-((BedsCurrent+BedsAdded)*ShiftHours*$F36/BedHr_M)),MAX(0,$J36*Acuity_M-(ImgBase+ImgExpOn*ImgExpAdd)),MAX(0,$J36-(LabBase+LabExpOn*LabExpAdd)))</f>
        <v>0</v>
      </c>
      <c r="N36" s="11">
        <f ca="1">MAX(MAX(0,($K36*(1+0.5*Acuity_E))-(Model!$G$25*(1+OTCapPct)*(Cap_Doc*$C36*(1-$G36)))),MAX(0,($K36)-(Model!$G$7*(1+OTCapPct)*(Cap_Nurse*$C36*(1-$H36)))),MAX(0,($K36)-(Model!$G$16*(1+OTCapPct)*(Cap_Tech*$C36*(1-$I36)))),MAX(0,$K36-((BedsCurrent+BedsAdded)*ShiftHours*$F36/BedHr_E)),MAX(0,$K36*Acuity_E-(ImgBase+ImgExpOn*ImgExpAdd)),MAX(0,$K36-(LabBase+LabExpOn*LabExpAdd)))</f>
        <v>5</v>
      </c>
      <c r="O36" s="11">
        <f ca="1">MAX(MAX(0,($L36*(1+0.5*Acuity_N))-(Model!$G$26*(1+OTCapPct)*(Cap_Doc*$C36*(1-$G36)))),MAX(0,($L36)-(Model!$G$8*(1+OTCapPct)*(Cap_Nurse*$C36*(1-$H36)))),MAX(0,($L36)-(Model!$G$17*(1+OTCapPct)*(Cap_Tech*$C36*(1-$I36)))),MAX(0,$L36-((BedsCurrent+BedsAdded)*ShiftHours*$F36/BedHr_N)),MAX(0,$L36*Acuity_N-(ImgBase+ImgExpOn*ImgExpAdd)),MAX(0,$L36-(LabBase+LabExpOn*LabExpAdd)))</f>
        <v>0</v>
      </c>
      <c r="P36" s="11">
        <f t="shared" ca="1" si="11"/>
        <v>5</v>
      </c>
      <c r="Q36" s="17">
        <f ca="1">((MIN(OTCapPct*Model!$G$24,MAX(0,(($J36*(1+0.5*Acuity_M))/(Cap_Doc*$C36*(1-$G36)))-Model!$G$24)))*OTCost_Doc)+((MIN(OTCapPct*Model!$G$6,MAX(0,(($J36)/(Cap_Nurse*$C36*(1-$H36)))-Model!$G$6)))*OTCost_Nurse)+((MIN(OTCapPct*Model!$G$15,MAX(0,(($J36)/(Cap_Tech*$C36*(1-$I36)))-Model!$G$15)))*OTCost_Tech)+((MIN(OTCapPct*Model!$G$25,MAX(0,(($K36*(1+0.5*Acuity_E))/(Cap_Doc*$C36*(1-$G36)))-Model!$G$25)))*OTCost_Doc)+((MIN(OTCapPct*Model!$G$7,MAX(0,(($K36)/(Cap_Nurse*$C36*(1-$H36)))-Model!$G$7)))*OTCost_Nurse)+((MIN(OTCapPct*Model!$G$16,MAX(0,(($K36)/(Cap_Tech*$C36*(1-$I36)))-Model!$G$16)))*OTCost_Tech)+((MIN(OTCapPct*Model!$G$26,MAX(0,(($L36*(1+0.5*Acuity_N))/(Cap_Doc*$C36*(1-$G36)))-Model!$G$26)))*OTCost_Doc)+((MIN(OTCapPct*Model!$G$8,MAX(0,(($L36)/(Cap_Nurse*$C36*(1-$H36)))-Model!$G$8)))*OTCost_Nurse)+((MIN(OTCapPct*Model!$G$17,MAX(0,(($L36)/(Cap_Tech*$C36*(1-$I36)))-Model!$G$17)))*OTCost_Tech)</f>
        <v>20146.783062203984</v>
      </c>
    </row>
    <row r="37" spans="1:17" x14ac:dyDescent="0.25">
      <c r="A37" s="11">
        <v>33</v>
      </c>
      <c r="B37" s="11" t="str">
        <f t="shared" ca="1" si="0"/>
        <v>Normal</v>
      </c>
      <c r="C37" s="11">
        <f t="shared" ca="1" si="1"/>
        <v>1</v>
      </c>
      <c r="D37" s="11">
        <f t="shared" ca="1" si="2"/>
        <v>0</v>
      </c>
      <c r="E37" s="11">
        <f t="shared" ca="1" si="3"/>
        <v>3</v>
      </c>
      <c r="F37" s="36">
        <f t="shared" ca="1" si="4"/>
        <v>1.0133901761872879</v>
      </c>
      <c r="G37" s="11">
        <f t="shared" ca="1" si="5"/>
        <v>4.6682244616854621E-2</v>
      </c>
      <c r="H37" s="11">
        <f t="shared" ca="1" si="6"/>
        <v>3.9638633255000374E-2</v>
      </c>
      <c r="I37" s="11">
        <f t="shared" ca="1" si="7"/>
        <v>0.21200391319400202</v>
      </c>
      <c r="J37" s="11">
        <f t="shared" ca="1" si="8"/>
        <v>97</v>
      </c>
      <c r="K37" s="11">
        <f t="shared" ca="1" si="9"/>
        <v>147</v>
      </c>
      <c r="L37" s="11">
        <f t="shared" ca="1" si="10"/>
        <v>64</v>
      </c>
      <c r="M37" s="11">
        <f ca="1">MAX(MAX(0,($J37*(1+0.5*Acuity_M))-(Model!$G$24*(1+OTCapPct)*(Cap_Doc*$C37*(1-$G37)))),MAX(0,($J37)-(Model!$G$6*(1+OTCapPct)*(Cap_Nurse*$C37*(1-$H37)))),MAX(0,($J37)-(Model!$G$15*(1+OTCapPct)*(Cap_Tech*$C37*(1-$I37)))),MAX(0,$J37-((BedsCurrent+BedsAdded)*ShiftHours*$F37/BedHr_M)),MAX(0,$J37*Acuity_M-(ImgBase+ImgExpOn*ImgExpAdd)),MAX(0,$J37-(LabBase+LabExpOn*LabExpAdd)))</f>
        <v>8.3504402343252337</v>
      </c>
      <c r="N37" s="11">
        <f ca="1">MAX(MAX(0,($K37*(1+0.5*Acuity_E))-(Model!$G$25*(1+OTCapPct)*(Cap_Doc*$C37*(1-$G37)))),MAX(0,($K37)-(Model!$G$7*(1+OTCapPct)*(Cap_Nurse*$C37*(1-$H37)))),MAX(0,($K37)-(Model!$G$16*(1+OTCapPct)*(Cap_Tech*$C37*(1-$I37)))),MAX(0,$K37-((BedsCurrent+BedsAdded)*ShiftHours*$F37/BedHr_E)),MAX(0,$K37*Acuity_E-(ImgBase+ImgExpOn*ImgExpAdd)),MAX(0,$K37-(LabBase+LabExpOn*LabExpAdd)))</f>
        <v>52</v>
      </c>
      <c r="O37" s="11">
        <f ca="1">MAX(MAX(0,($L37*(1+0.5*Acuity_N))-(Model!$G$26*(1+OTCapPct)*(Cap_Doc*$C37*(1-$G37)))),MAX(0,($L37)-(Model!$G$8*(1+OTCapPct)*(Cap_Nurse*$C37*(1-$H37)))),MAX(0,($L37)-(Model!$G$17*(1+OTCapPct)*(Cap_Tech*$C37*(1-$I37)))),MAX(0,$L37-((BedsCurrent+BedsAdded)*ShiftHours*$F37/BedHr_N)),MAX(0,$L37*Acuity_N-(ImgBase+ImgExpOn*ImgExpAdd)),MAX(0,$L37-(LabBase+LabExpOn*LabExpAdd)))</f>
        <v>0</v>
      </c>
      <c r="P37" s="11">
        <f t="shared" ca="1" si="11"/>
        <v>60.350440234325234</v>
      </c>
      <c r="Q37" s="17">
        <f ca="1">((MIN(OTCapPct*Model!$G$24,MAX(0,(($J37*(1+0.5*Acuity_M))/(Cap_Doc*$C37*(1-$G37)))-Model!$G$24)))*OTCost_Doc)+((MIN(OTCapPct*Model!$G$6,MAX(0,(($J37)/(Cap_Nurse*$C37*(1-$H37)))-Model!$G$6)))*OTCost_Nurse)+((MIN(OTCapPct*Model!$G$15,MAX(0,(($J37)/(Cap_Tech*$C37*(1-$I37)))-Model!$G$15)))*OTCost_Tech)+((MIN(OTCapPct*Model!$G$25,MAX(0,(($K37*(1+0.5*Acuity_E))/(Cap_Doc*$C37*(1-$G37)))-Model!$G$25)))*OTCost_Doc)+((MIN(OTCapPct*Model!$G$7,MAX(0,(($K37)/(Cap_Nurse*$C37*(1-$H37)))-Model!$G$7)))*OTCost_Nurse)+((MIN(OTCapPct*Model!$G$16,MAX(0,(($K37)/(Cap_Tech*$C37*(1-$I37)))-Model!$G$16)))*OTCost_Tech)+((MIN(OTCapPct*Model!$G$26,MAX(0,(($L37*(1+0.5*Acuity_N))/(Cap_Doc*$C37*(1-$G37)))-Model!$G$26)))*OTCost_Doc)+((MIN(OTCapPct*Model!$G$8,MAX(0,(($L37)/(Cap_Nurse*$C37*(1-$H37)))-Model!$G$8)))*OTCost_Nurse)+((MIN(OTCapPct*Model!$G$17,MAX(0,(($L37)/(Cap_Tech*$C37*(1-$I37)))-Model!$G$17)))*OTCost_Tech)</f>
        <v>78613.352588620779</v>
      </c>
    </row>
    <row r="38" spans="1:17" x14ac:dyDescent="0.25">
      <c r="A38" s="11">
        <v>34</v>
      </c>
      <c r="B38" s="11" t="str">
        <f t="shared" ca="1" si="0"/>
        <v>Normal</v>
      </c>
      <c r="C38" s="11">
        <f t="shared" ca="1" si="1"/>
        <v>1</v>
      </c>
      <c r="D38" s="11">
        <f t="shared" ca="1" si="2"/>
        <v>0</v>
      </c>
      <c r="E38" s="11">
        <f t="shared" ca="1" si="3"/>
        <v>2</v>
      </c>
      <c r="F38" s="36">
        <f t="shared" ca="1" si="4"/>
        <v>0.92388796946901119</v>
      </c>
      <c r="G38" s="11">
        <f t="shared" ca="1" si="5"/>
        <v>3.7693732453421794E-2</v>
      </c>
      <c r="H38" s="11">
        <f t="shared" ca="1" si="6"/>
        <v>0.10625795784474074</v>
      </c>
      <c r="I38" s="11">
        <f t="shared" ca="1" si="7"/>
        <v>0</v>
      </c>
      <c r="J38" s="11">
        <f t="shared" ca="1" si="8"/>
        <v>65</v>
      </c>
      <c r="K38" s="11">
        <f t="shared" ca="1" si="9"/>
        <v>112</v>
      </c>
      <c r="L38" s="11">
        <f t="shared" ca="1" si="10"/>
        <v>71</v>
      </c>
      <c r="M38" s="11">
        <f ca="1">MAX(MAX(0,($J38*(1+0.5*Acuity_M))-(Model!$G$24*(1+OTCapPct)*(Cap_Doc*$C38*(1-$G38)))),MAX(0,($J38)-(Model!$G$6*(1+OTCapPct)*(Cap_Nurse*$C38*(1-$H38)))),MAX(0,($J38)-(Model!$G$15*(1+OTCapPct)*(Cap_Tech*$C38*(1-$I38)))),MAX(0,$J38-((BedsCurrent+BedsAdded)*ShiftHours*$F38/BedHr_M)),MAX(0,$J38*Acuity_M-(ImgBase+ImgExpOn*ImgExpAdd)),MAX(0,$J38-(LabBase+LabExpOn*LabExpAdd)))</f>
        <v>0</v>
      </c>
      <c r="N38" s="11">
        <f ca="1">MAX(MAX(0,($K38*(1+0.5*Acuity_E))-(Model!$G$25*(1+OTCapPct)*(Cap_Doc*$C38*(1-$G38)))),MAX(0,($K38)-(Model!$G$7*(1+OTCapPct)*(Cap_Nurse*$C38*(1-$H38)))),MAX(0,($K38)-(Model!$G$16*(1+OTCapPct)*(Cap_Tech*$C38*(1-$I38)))),MAX(0,$K38-((BedsCurrent+BedsAdded)*ShiftHours*$F38/BedHr_E)),MAX(0,$K38*Acuity_E-(ImgBase+ImgExpOn*ImgExpAdd)),MAX(0,$K38-(LabBase+LabExpOn*LabExpAdd)))</f>
        <v>17</v>
      </c>
      <c r="O38" s="11">
        <f ca="1">MAX(MAX(0,($L38*(1+0.5*Acuity_N))-(Model!$G$26*(1+OTCapPct)*(Cap_Doc*$C38*(1-$G38)))),MAX(0,($L38)-(Model!$G$8*(1+OTCapPct)*(Cap_Nurse*$C38*(1-$H38)))),MAX(0,($L38)-(Model!$G$17*(1+OTCapPct)*(Cap_Tech*$C38*(1-$I38)))),MAX(0,$L38-((BedsCurrent+BedsAdded)*ShiftHours*$F38/BedHr_N)),MAX(0,$L38*Acuity_N-(ImgBase+ImgExpOn*ImgExpAdd)),MAX(0,$L38-(LabBase+LabExpOn*LabExpAdd)))</f>
        <v>0</v>
      </c>
      <c r="P38" s="11">
        <f t="shared" ca="1" si="11"/>
        <v>17</v>
      </c>
      <c r="Q38" s="17">
        <f ca="1">((MIN(OTCapPct*Model!$G$24,MAX(0,(($J38*(1+0.5*Acuity_M))/(Cap_Doc*$C38*(1-$G38)))-Model!$G$24)))*OTCost_Doc)+((MIN(OTCapPct*Model!$G$6,MAX(0,(($J38)/(Cap_Nurse*$C38*(1-$H38)))-Model!$G$6)))*OTCost_Nurse)+((MIN(OTCapPct*Model!$G$15,MAX(0,(($J38)/(Cap_Tech*$C38*(1-$I38)))-Model!$G$15)))*OTCost_Tech)+((MIN(OTCapPct*Model!$G$25,MAX(0,(($K38*(1+0.5*Acuity_E))/(Cap_Doc*$C38*(1-$G38)))-Model!$G$25)))*OTCost_Doc)+((MIN(OTCapPct*Model!$G$7,MAX(0,(($K38)/(Cap_Nurse*$C38*(1-$H38)))-Model!$G$7)))*OTCost_Nurse)+((MIN(OTCapPct*Model!$G$16,MAX(0,(($K38)/(Cap_Tech*$C38*(1-$I38)))-Model!$G$16)))*OTCost_Tech)+((MIN(OTCapPct*Model!$G$26,MAX(0,(($L38*(1+0.5*Acuity_N))/(Cap_Doc*$C38*(1-$G38)))-Model!$G$26)))*OTCost_Doc)+((MIN(OTCapPct*Model!$G$8,MAX(0,(($L38)/(Cap_Nurse*$C38*(1-$H38)))-Model!$G$8)))*OTCost_Nurse)+((MIN(OTCapPct*Model!$G$17,MAX(0,(($L38)/(Cap_Tech*$C38*(1-$I38)))-Model!$G$17)))*OTCost_Tech)</f>
        <v>21557.202483637095</v>
      </c>
    </row>
    <row r="39" spans="1:17" x14ac:dyDescent="0.25">
      <c r="A39" s="11">
        <v>35</v>
      </c>
      <c r="B39" s="11" t="str">
        <f t="shared" ca="1" si="0"/>
        <v>Normal</v>
      </c>
      <c r="C39" s="11">
        <f t="shared" ca="1" si="1"/>
        <v>1</v>
      </c>
      <c r="D39" s="11">
        <f t="shared" ca="1" si="2"/>
        <v>0</v>
      </c>
      <c r="E39" s="11">
        <f t="shared" ca="1" si="3"/>
        <v>1</v>
      </c>
      <c r="F39" s="36">
        <f t="shared" ca="1" si="4"/>
        <v>1.1825665410598543</v>
      </c>
      <c r="G39" s="11">
        <f t="shared" ca="1" si="5"/>
        <v>4.7578264738409884E-2</v>
      </c>
      <c r="H39" s="11">
        <f t="shared" ca="1" si="6"/>
        <v>9.1778048739318746E-2</v>
      </c>
      <c r="I39" s="11">
        <f t="shared" ca="1" si="7"/>
        <v>2.9560598223952381E-2</v>
      </c>
      <c r="J39" s="11">
        <f t="shared" ca="1" si="8"/>
        <v>91</v>
      </c>
      <c r="K39" s="11">
        <f t="shared" ca="1" si="9"/>
        <v>99</v>
      </c>
      <c r="L39" s="11">
        <f t="shared" ca="1" si="10"/>
        <v>60</v>
      </c>
      <c r="M39" s="11">
        <f ca="1">MAX(MAX(0,($J39*(1+0.5*Acuity_M))-(Model!$G$24*(1+OTCapPct)*(Cap_Doc*$C39*(1-$G39)))),MAX(0,($J39)-(Model!$G$6*(1+OTCapPct)*(Cap_Nurse*$C39*(1-$H39)))),MAX(0,($J39)-(Model!$G$15*(1+OTCapPct)*(Cap_Tech*$C39*(1-$I39)))),MAX(0,$J39-((BedsCurrent+BedsAdded)*ShiftHours*$F39/BedHr_M)),MAX(0,$J39*Acuity_M-(ImgBase+ImgExpOn*ImgExpAdd)),MAX(0,$J39-(LabBase+LabExpOn*LabExpAdd)))</f>
        <v>0</v>
      </c>
      <c r="N39" s="11">
        <f ca="1">MAX(MAX(0,($K39*(1+0.5*Acuity_E))-(Model!$G$25*(1+OTCapPct)*(Cap_Doc*$C39*(1-$G39)))),MAX(0,($K39)-(Model!$G$7*(1+OTCapPct)*(Cap_Nurse*$C39*(1-$H39)))),MAX(0,($K39)-(Model!$G$16*(1+OTCapPct)*(Cap_Tech*$C39*(1-$I39)))),MAX(0,$K39-((BedsCurrent+BedsAdded)*ShiftHours*$F39/BedHr_E)),MAX(0,$K39*Acuity_E-(ImgBase+ImgExpOn*ImgExpAdd)),MAX(0,$K39-(LabBase+LabExpOn*LabExpAdd)))</f>
        <v>4</v>
      </c>
      <c r="O39" s="11">
        <f ca="1">MAX(MAX(0,($L39*(1+0.5*Acuity_N))-(Model!$G$26*(1+OTCapPct)*(Cap_Doc*$C39*(1-$G39)))),MAX(0,($L39)-(Model!$G$8*(1+OTCapPct)*(Cap_Nurse*$C39*(1-$H39)))),MAX(0,($L39)-(Model!$G$17*(1+OTCapPct)*(Cap_Tech*$C39*(1-$I39)))),MAX(0,$L39-((BedsCurrent+BedsAdded)*ShiftHours*$F39/BedHr_N)),MAX(0,$L39*Acuity_N-(ImgBase+ImgExpOn*ImgExpAdd)),MAX(0,$L39-(LabBase+LabExpOn*LabExpAdd)))</f>
        <v>0</v>
      </c>
      <c r="P39" s="11">
        <f t="shared" ca="1" si="11"/>
        <v>4</v>
      </c>
      <c r="Q39" s="17">
        <f ca="1">((MIN(OTCapPct*Model!$G$24,MAX(0,(($J39*(1+0.5*Acuity_M))/(Cap_Doc*$C39*(1-$G39)))-Model!$G$24)))*OTCost_Doc)+((MIN(OTCapPct*Model!$G$6,MAX(0,(($J39)/(Cap_Nurse*$C39*(1-$H39)))-Model!$G$6)))*OTCost_Nurse)+((MIN(OTCapPct*Model!$G$15,MAX(0,(($J39)/(Cap_Tech*$C39*(1-$I39)))-Model!$G$15)))*OTCost_Tech)+((MIN(OTCapPct*Model!$G$25,MAX(0,(($K39*(1+0.5*Acuity_E))/(Cap_Doc*$C39*(1-$G39)))-Model!$G$25)))*OTCost_Doc)+((MIN(OTCapPct*Model!$G$7,MAX(0,(($K39)/(Cap_Nurse*$C39*(1-$H39)))-Model!$G$7)))*OTCost_Nurse)+((MIN(OTCapPct*Model!$G$16,MAX(0,(($K39)/(Cap_Tech*$C39*(1-$I39)))-Model!$G$16)))*OTCost_Tech)+((MIN(OTCapPct*Model!$G$26,MAX(0,(($L39*(1+0.5*Acuity_N))/(Cap_Doc*$C39*(1-$G39)))-Model!$G$26)))*OTCost_Doc)+((MIN(OTCapPct*Model!$G$8,MAX(0,(($L39)/(Cap_Nurse*$C39*(1-$H39)))-Model!$G$8)))*OTCost_Nurse)+((MIN(OTCapPct*Model!$G$17,MAX(0,(($L39)/(Cap_Tech*$C39*(1-$I39)))-Model!$G$17)))*OTCost_Tech)</f>
        <v>21778.51139061098</v>
      </c>
    </row>
    <row r="40" spans="1:17" x14ac:dyDescent="0.25">
      <c r="A40" s="11">
        <v>36</v>
      </c>
      <c r="B40" s="11" t="str">
        <f t="shared" ca="1" si="0"/>
        <v>Normal</v>
      </c>
      <c r="C40" s="11">
        <f t="shared" ca="1" si="1"/>
        <v>1</v>
      </c>
      <c r="D40" s="11">
        <f t="shared" ca="1" si="2"/>
        <v>0</v>
      </c>
      <c r="E40" s="11">
        <f t="shared" ca="1" si="3"/>
        <v>2</v>
      </c>
      <c r="F40" s="36">
        <f t="shared" ca="1" si="4"/>
        <v>1.1132362772715081</v>
      </c>
      <c r="G40" s="11">
        <f t="shared" ca="1" si="5"/>
        <v>0.12606082631953364</v>
      </c>
      <c r="H40" s="11">
        <f t="shared" ca="1" si="6"/>
        <v>0</v>
      </c>
      <c r="I40" s="11">
        <f t="shared" ca="1" si="7"/>
        <v>0.20972869531639876</v>
      </c>
      <c r="J40" s="11">
        <f t="shared" ca="1" si="8"/>
        <v>64</v>
      </c>
      <c r="K40" s="11">
        <f t="shared" ca="1" si="9"/>
        <v>119</v>
      </c>
      <c r="L40" s="11">
        <f t="shared" ca="1" si="10"/>
        <v>66</v>
      </c>
      <c r="M40" s="11">
        <f ca="1">MAX(MAX(0,($J40*(1+0.5*Acuity_M))-(Model!$G$24*(1+OTCapPct)*(Cap_Doc*$C40*(1-$G40)))),MAX(0,($J40)-(Model!$G$6*(1+OTCapPct)*(Cap_Nurse*$C40*(1-$H40)))),MAX(0,($J40)-(Model!$G$15*(1+OTCapPct)*(Cap_Tech*$C40*(1-$I40)))),MAX(0,$J40-((BedsCurrent+BedsAdded)*ShiftHours*$F40/BedHr_M)),MAX(0,$J40*Acuity_M-(ImgBase+ImgExpOn*ImgExpAdd)),MAX(0,$J40-(LabBase+LabExpOn*LabExpAdd)))</f>
        <v>0</v>
      </c>
      <c r="N40" s="11">
        <f ca="1">MAX(MAX(0,($K40*(1+0.5*Acuity_E))-(Model!$G$25*(1+OTCapPct)*(Cap_Doc*$C40*(1-$G40)))),MAX(0,($K40)-(Model!$G$7*(1+OTCapPct)*(Cap_Nurse*$C40*(1-$H40)))),MAX(0,($K40)-(Model!$G$16*(1+OTCapPct)*(Cap_Tech*$C40*(1-$I40)))),MAX(0,$K40-((BedsCurrent+BedsAdded)*ShiftHours*$F40/BedHr_E)),MAX(0,$K40*Acuity_E-(ImgBase+ImgExpOn*ImgExpAdd)),MAX(0,$K40-(LabBase+LabExpOn*LabExpAdd)))</f>
        <v>24</v>
      </c>
      <c r="O40" s="11">
        <f ca="1">MAX(MAX(0,($L40*(1+0.5*Acuity_N))-(Model!$G$26*(1+OTCapPct)*(Cap_Doc*$C40*(1-$G40)))),MAX(0,($L40)-(Model!$G$8*(1+OTCapPct)*(Cap_Nurse*$C40*(1-$H40)))),MAX(0,($L40)-(Model!$G$17*(1+OTCapPct)*(Cap_Tech*$C40*(1-$I40)))),MAX(0,$L40-((BedsCurrent+BedsAdded)*ShiftHours*$F40/BedHr_N)),MAX(0,$L40*Acuity_N-(ImgBase+ImgExpOn*ImgExpAdd)),MAX(0,$L40-(LabBase+LabExpOn*LabExpAdd)))</f>
        <v>0</v>
      </c>
      <c r="P40" s="11">
        <f t="shared" ca="1" si="11"/>
        <v>24</v>
      </c>
      <c r="Q40" s="17">
        <f ca="1">((MIN(OTCapPct*Model!$G$24,MAX(0,(($J40*(1+0.5*Acuity_M))/(Cap_Doc*$C40*(1-$G40)))-Model!$G$24)))*OTCost_Doc)+((MIN(OTCapPct*Model!$G$6,MAX(0,(($J40)/(Cap_Nurse*$C40*(1-$H40)))-Model!$G$6)))*OTCost_Nurse)+((MIN(OTCapPct*Model!$G$15,MAX(0,(($J40)/(Cap_Tech*$C40*(1-$I40)))-Model!$G$15)))*OTCost_Tech)+((MIN(OTCapPct*Model!$G$25,MAX(0,(($K40*(1+0.5*Acuity_E))/(Cap_Doc*$C40*(1-$G40)))-Model!$G$25)))*OTCost_Doc)+((MIN(OTCapPct*Model!$G$7,MAX(0,(($K40)/(Cap_Nurse*$C40*(1-$H40)))-Model!$G$7)))*OTCost_Nurse)+((MIN(OTCapPct*Model!$G$16,MAX(0,(($K40)/(Cap_Tech*$C40*(1-$I40)))-Model!$G$16)))*OTCost_Tech)+((MIN(OTCapPct*Model!$G$26,MAX(0,(($L40*(1+0.5*Acuity_N))/(Cap_Doc*$C40*(1-$G40)))-Model!$G$26)))*OTCost_Doc)+((MIN(OTCapPct*Model!$G$8,MAX(0,(($L40)/(Cap_Nurse*$C40*(1-$H40)))-Model!$G$8)))*OTCost_Nurse)+((MIN(OTCapPct*Model!$G$17,MAX(0,(($L40)/(Cap_Tech*$C40*(1-$I40)))-Model!$G$17)))*OTCost_Tech)</f>
        <v>38057.257963142489</v>
      </c>
    </row>
    <row r="41" spans="1:17" x14ac:dyDescent="0.25">
      <c r="A41" s="11">
        <v>37</v>
      </c>
      <c r="B41" s="11" t="str">
        <f t="shared" ca="1" si="0"/>
        <v>Complex</v>
      </c>
      <c r="C41" s="11">
        <f t="shared" ca="1" si="1"/>
        <v>0.9</v>
      </c>
      <c r="D41" s="11">
        <f t="shared" ca="1" si="2"/>
        <v>0</v>
      </c>
      <c r="E41" s="11">
        <f t="shared" ca="1" si="3"/>
        <v>2</v>
      </c>
      <c r="F41" s="36">
        <f t="shared" ca="1" si="4"/>
        <v>1.1844353934938971</v>
      </c>
      <c r="G41" s="11">
        <f t="shared" ca="1" si="5"/>
        <v>5.0519440325192053E-2</v>
      </c>
      <c r="H41" s="11">
        <f t="shared" ca="1" si="6"/>
        <v>8.5473196037679638E-4</v>
      </c>
      <c r="I41" s="11">
        <f t="shared" ca="1" si="7"/>
        <v>0.13065710266973518</v>
      </c>
      <c r="J41" s="11">
        <f t="shared" ca="1" si="8"/>
        <v>87</v>
      </c>
      <c r="K41" s="11">
        <f t="shared" ca="1" si="9"/>
        <v>94</v>
      </c>
      <c r="L41" s="11">
        <f t="shared" ca="1" si="10"/>
        <v>43</v>
      </c>
      <c r="M41" s="11">
        <f ca="1">MAX(MAX(0,($J41*(1+0.5*Acuity_M))-(Model!$G$24*(1+OTCapPct)*(Cap_Doc*$C41*(1-$G41)))),MAX(0,($J41)-(Model!$G$6*(1+OTCapPct)*(Cap_Nurse*$C41*(1-$H41)))),MAX(0,($J41)-(Model!$G$15*(1+OTCapPct)*(Cap_Tech*$C41*(1-$I41)))),MAX(0,$J41-((BedsCurrent+BedsAdded)*ShiftHours*$F41/BedHr_M)),MAX(0,$J41*Acuity_M-(ImgBase+ImgExpOn*ImgExpAdd)),MAX(0,$J41-(LabBase+LabExpOn*LabExpAdd)))</f>
        <v>0.43509333292571739</v>
      </c>
      <c r="N41" s="11">
        <f ca="1">MAX(MAX(0,($K41*(1+0.5*Acuity_E))-(Model!$G$25*(1+OTCapPct)*(Cap_Doc*$C41*(1-$G41)))),MAX(0,($K41)-(Model!$G$7*(1+OTCapPct)*(Cap_Nurse*$C41*(1-$H41)))),MAX(0,($K41)-(Model!$G$16*(1+OTCapPct)*(Cap_Tech*$C41*(1-$I41)))),MAX(0,$K41-((BedsCurrent+BedsAdded)*ShiftHours*$F41/BedHr_E)),MAX(0,$K41*Acuity_E-(ImgBase+ImgExpOn*ImgExpAdd)),MAX(0,$K41-(LabBase+LabExpOn*LabExpAdd)))</f>
        <v>0</v>
      </c>
      <c r="O41" s="11">
        <f ca="1">MAX(MAX(0,($L41*(1+0.5*Acuity_N))-(Model!$G$26*(1+OTCapPct)*(Cap_Doc*$C41*(1-$G41)))),MAX(0,($L41)-(Model!$G$8*(1+OTCapPct)*(Cap_Nurse*$C41*(1-$H41)))),MAX(0,($L41)-(Model!$G$17*(1+OTCapPct)*(Cap_Tech*$C41*(1-$I41)))),MAX(0,$L41-((BedsCurrent+BedsAdded)*ShiftHours*$F41/BedHr_N)),MAX(0,$L41*Acuity_N-(ImgBase+ImgExpOn*ImgExpAdd)),MAX(0,$L41-(LabBase+LabExpOn*LabExpAdd)))</f>
        <v>0</v>
      </c>
      <c r="P41" s="11">
        <f t="shared" ca="1" si="11"/>
        <v>0.43509333292571739</v>
      </c>
      <c r="Q41" s="17">
        <f ca="1">((MIN(OTCapPct*Model!$G$24,MAX(0,(($J41*(1+0.5*Acuity_M))/(Cap_Doc*$C41*(1-$G41)))-Model!$G$24)))*OTCost_Doc)+((MIN(OTCapPct*Model!$G$6,MAX(0,(($J41)/(Cap_Nurse*$C41*(1-$H41)))-Model!$G$6)))*OTCost_Nurse)+((MIN(OTCapPct*Model!$G$15,MAX(0,(($J41)/(Cap_Tech*$C41*(1-$I41)))-Model!$G$15)))*OTCost_Tech)+((MIN(OTCapPct*Model!$G$25,MAX(0,(($K41*(1+0.5*Acuity_E))/(Cap_Doc*$C41*(1-$G41)))-Model!$G$25)))*OTCost_Doc)+((MIN(OTCapPct*Model!$G$7,MAX(0,(($K41)/(Cap_Nurse*$C41*(1-$H41)))-Model!$G$7)))*OTCost_Nurse)+((MIN(OTCapPct*Model!$G$16,MAX(0,(($K41)/(Cap_Tech*$C41*(1-$I41)))-Model!$G$16)))*OTCost_Tech)+((MIN(OTCapPct*Model!$G$26,MAX(0,(($L41*(1+0.5*Acuity_N))/(Cap_Doc*$C41*(1-$G41)))-Model!$G$26)))*OTCost_Doc)+((MIN(OTCapPct*Model!$G$8,MAX(0,(($L41)/(Cap_Nurse*$C41*(1-$H41)))-Model!$G$8)))*OTCost_Nurse)+((MIN(OTCapPct*Model!$G$17,MAX(0,(($L41)/(Cap_Tech*$C41*(1-$I41)))-Model!$G$17)))*OTCost_Tech)</f>
        <v>27337.057986019659</v>
      </c>
    </row>
    <row r="42" spans="1:17" x14ac:dyDescent="0.25">
      <c r="A42" s="11">
        <v>38</v>
      </c>
      <c r="B42" s="11" t="str">
        <f t="shared" ca="1" si="0"/>
        <v>Normal</v>
      </c>
      <c r="C42" s="11">
        <f t="shared" ca="1" si="1"/>
        <v>1</v>
      </c>
      <c r="D42" s="11">
        <f t="shared" ca="1" si="2"/>
        <v>0</v>
      </c>
      <c r="E42" s="11">
        <f t="shared" ca="1" si="3"/>
        <v>2</v>
      </c>
      <c r="F42" s="36">
        <f t="shared" ca="1" si="4"/>
        <v>0.95304911167952966</v>
      </c>
      <c r="G42" s="11">
        <f t="shared" ca="1" si="5"/>
        <v>0.11097069263297948</v>
      </c>
      <c r="H42" s="11">
        <f t="shared" ca="1" si="6"/>
        <v>6.9759998309619944E-2</v>
      </c>
      <c r="I42" s="11">
        <f t="shared" ca="1" si="7"/>
        <v>0.12312211042267636</v>
      </c>
      <c r="J42" s="11">
        <f t="shared" ca="1" si="8"/>
        <v>96</v>
      </c>
      <c r="K42" s="11">
        <f t="shared" ca="1" si="9"/>
        <v>124</v>
      </c>
      <c r="L42" s="11">
        <f t="shared" ca="1" si="10"/>
        <v>72</v>
      </c>
      <c r="M42" s="11">
        <f ca="1">MAX(MAX(0,($J42*(1+0.5*Acuity_M))-(Model!$G$24*(1+OTCapPct)*(Cap_Doc*$C42*(1-$G42)))),MAX(0,($J42)-(Model!$G$6*(1+OTCapPct)*(Cap_Nurse*$C42*(1-$H42)))),MAX(0,($J42)-(Model!$G$15*(1+OTCapPct)*(Cap_Tech*$C42*(1-$I42)))),MAX(0,$J42-((BedsCurrent+BedsAdded)*ShiftHours*$F42/BedHr_M)),MAX(0,$J42*Acuity_M-(ImgBase+ImgExpOn*ImgExpAdd)),MAX(0,$J42-(LabBase+LabExpOn*LabExpAdd)))</f>
        <v>6.5442029212101716</v>
      </c>
      <c r="N42" s="11">
        <f ca="1">MAX(MAX(0,($K42*(1+0.5*Acuity_E))-(Model!$G$25*(1+OTCapPct)*(Cap_Doc*$C42*(1-$G42)))),MAX(0,($K42)-(Model!$G$7*(1+OTCapPct)*(Cap_Nurse*$C42*(1-$H42)))),MAX(0,($K42)-(Model!$G$16*(1+OTCapPct)*(Cap_Tech*$C42*(1-$I42)))),MAX(0,$K42-((BedsCurrent+BedsAdded)*ShiftHours*$F42/BedHr_E)),MAX(0,$K42*Acuity_E-(ImgBase+ImgExpOn*ImgExpAdd)),MAX(0,$K42-(LabBase+LabExpOn*LabExpAdd)))</f>
        <v>29</v>
      </c>
      <c r="O42" s="11">
        <f ca="1">MAX(MAX(0,($L42*(1+0.5*Acuity_N))-(Model!$G$26*(1+OTCapPct)*(Cap_Doc*$C42*(1-$G42)))),MAX(0,($L42)-(Model!$G$8*(1+OTCapPct)*(Cap_Nurse*$C42*(1-$H42)))),MAX(0,($L42)-(Model!$G$17*(1+OTCapPct)*(Cap_Tech*$C42*(1-$I42)))),MAX(0,$L42-((BedsCurrent+BedsAdded)*ShiftHours*$F42/BedHr_N)),MAX(0,$L42*Acuity_N-(ImgBase+ImgExpOn*ImgExpAdd)),MAX(0,$L42-(LabBase+LabExpOn*LabExpAdd)))</f>
        <v>2.7873623369681439</v>
      </c>
      <c r="P42" s="11">
        <f t="shared" ca="1" si="11"/>
        <v>38.331565258178316</v>
      </c>
      <c r="Q42" s="17">
        <f ca="1">((MIN(OTCapPct*Model!$G$24,MAX(0,(($J42*(1+0.5*Acuity_M))/(Cap_Doc*$C42*(1-$G42)))-Model!$G$24)))*OTCost_Doc)+((MIN(OTCapPct*Model!$G$6,MAX(0,(($J42)/(Cap_Nurse*$C42*(1-$H42)))-Model!$G$6)))*OTCost_Nurse)+((MIN(OTCapPct*Model!$G$15,MAX(0,(($J42)/(Cap_Tech*$C42*(1-$I42)))-Model!$G$15)))*OTCost_Tech)+((MIN(OTCapPct*Model!$G$25,MAX(0,(($K42*(1+0.5*Acuity_E))/(Cap_Doc*$C42*(1-$G42)))-Model!$G$25)))*OTCost_Doc)+((MIN(OTCapPct*Model!$G$7,MAX(0,(($K42)/(Cap_Nurse*$C42*(1-$H42)))-Model!$G$7)))*OTCost_Nurse)+((MIN(OTCapPct*Model!$G$16,MAX(0,(($K42)/(Cap_Tech*$C42*(1-$I42)))-Model!$G$16)))*OTCost_Tech)+((MIN(OTCapPct*Model!$G$26,MAX(0,(($L42*(1+0.5*Acuity_N))/(Cap_Doc*$C42*(1-$G42)))-Model!$G$26)))*OTCost_Doc)+((MIN(OTCapPct*Model!$G$8,MAX(0,(($L42)/(Cap_Nurse*$C42*(1-$H42)))-Model!$G$8)))*OTCost_Nurse)+((MIN(OTCapPct*Model!$G$17,MAX(0,(($L42)/(Cap_Tech*$C42*(1-$I42)))-Model!$G$17)))*OTCost_Tech)</f>
        <v>81342.826336456099</v>
      </c>
    </row>
    <row r="43" spans="1:17" x14ac:dyDescent="0.25">
      <c r="A43" s="11">
        <v>39</v>
      </c>
      <c r="B43" s="11" t="str">
        <f t="shared" ca="1" si="0"/>
        <v>Normal</v>
      </c>
      <c r="C43" s="11">
        <f t="shared" ca="1" si="1"/>
        <v>1</v>
      </c>
      <c r="D43" s="11">
        <f t="shared" ca="1" si="2"/>
        <v>0</v>
      </c>
      <c r="E43" s="11">
        <f t="shared" ca="1" si="3"/>
        <v>2</v>
      </c>
      <c r="F43" s="36">
        <f t="shared" ca="1" si="4"/>
        <v>0.9994808824145297</v>
      </c>
      <c r="G43" s="11">
        <f t="shared" ca="1" si="5"/>
        <v>2.659950986191309E-2</v>
      </c>
      <c r="H43" s="11">
        <f t="shared" ca="1" si="6"/>
        <v>6.138739224266223E-2</v>
      </c>
      <c r="I43" s="11">
        <f t="shared" ca="1" si="7"/>
        <v>1.7673039151720783E-2</v>
      </c>
      <c r="J43" s="11">
        <f t="shared" ca="1" si="8"/>
        <v>74</v>
      </c>
      <c r="K43" s="11">
        <f t="shared" ca="1" si="9"/>
        <v>115</v>
      </c>
      <c r="L43" s="11">
        <f t="shared" ca="1" si="10"/>
        <v>69</v>
      </c>
      <c r="M43" s="11">
        <f ca="1">MAX(MAX(0,($J43*(1+0.5*Acuity_M))-(Model!$G$24*(1+OTCapPct)*(Cap_Doc*$C43*(1-$G43)))),MAX(0,($J43)-(Model!$G$6*(1+OTCapPct)*(Cap_Nurse*$C43*(1-$H43)))),MAX(0,($J43)-(Model!$G$15*(1+OTCapPct)*(Cap_Tech*$C43*(1-$I43)))),MAX(0,$J43-((BedsCurrent+BedsAdded)*ShiftHours*$F43/BedHr_M)),MAX(0,$J43*Acuity_M-(ImgBase+ImgExpOn*ImgExpAdd)),MAX(0,$J43-(LabBase+LabExpOn*LabExpAdd)))</f>
        <v>0</v>
      </c>
      <c r="N43" s="11">
        <f ca="1">MAX(MAX(0,($K43*(1+0.5*Acuity_E))-(Model!$G$25*(1+OTCapPct)*(Cap_Doc*$C43*(1-$G43)))),MAX(0,($K43)-(Model!$G$7*(1+OTCapPct)*(Cap_Nurse*$C43*(1-$H43)))),MAX(0,($K43)-(Model!$G$16*(1+OTCapPct)*(Cap_Tech*$C43*(1-$I43)))),MAX(0,$K43-((BedsCurrent+BedsAdded)*ShiftHours*$F43/BedHr_E)),MAX(0,$K43*Acuity_E-(ImgBase+ImgExpOn*ImgExpAdd)),MAX(0,$K43-(LabBase+LabExpOn*LabExpAdd)))</f>
        <v>20</v>
      </c>
      <c r="O43" s="11">
        <f ca="1">MAX(MAX(0,($L43*(1+0.5*Acuity_N))-(Model!$G$26*(1+OTCapPct)*(Cap_Doc*$C43*(1-$G43)))),MAX(0,($L43)-(Model!$G$8*(1+OTCapPct)*(Cap_Nurse*$C43*(1-$H43)))),MAX(0,($L43)-(Model!$G$17*(1+OTCapPct)*(Cap_Tech*$C43*(1-$I43)))),MAX(0,$L43-((BedsCurrent+BedsAdded)*ShiftHours*$F43/BedHr_N)),MAX(0,$L43*Acuity_N-(ImgBase+ImgExpOn*ImgExpAdd)),MAX(0,$L43-(LabBase+LabExpOn*LabExpAdd)))</f>
        <v>0</v>
      </c>
      <c r="P43" s="11">
        <f t="shared" ca="1" si="11"/>
        <v>20</v>
      </c>
      <c r="Q43" s="17">
        <f ca="1">((MIN(OTCapPct*Model!$G$24,MAX(0,(($J43*(1+0.5*Acuity_M))/(Cap_Doc*$C43*(1-$G43)))-Model!$G$24)))*OTCost_Doc)+((MIN(OTCapPct*Model!$G$6,MAX(0,(($J43)/(Cap_Nurse*$C43*(1-$H43)))-Model!$G$6)))*OTCost_Nurse)+((MIN(OTCapPct*Model!$G$15,MAX(0,(($J43)/(Cap_Tech*$C43*(1-$I43)))-Model!$G$15)))*OTCost_Tech)+((MIN(OTCapPct*Model!$G$25,MAX(0,(($K43*(1+0.5*Acuity_E))/(Cap_Doc*$C43*(1-$G43)))-Model!$G$25)))*OTCost_Doc)+((MIN(OTCapPct*Model!$G$7,MAX(0,(($K43)/(Cap_Nurse*$C43*(1-$H43)))-Model!$G$7)))*OTCost_Nurse)+((MIN(OTCapPct*Model!$G$16,MAX(0,(($K43)/(Cap_Tech*$C43*(1-$I43)))-Model!$G$16)))*OTCost_Tech)+((MIN(OTCapPct*Model!$G$26,MAX(0,(($L43*(1+0.5*Acuity_N))/(Cap_Doc*$C43*(1-$G43)))-Model!$G$26)))*OTCost_Doc)+((MIN(OTCapPct*Model!$G$8,MAX(0,(($L43)/(Cap_Nurse*$C43*(1-$H43)))-Model!$G$8)))*OTCost_Nurse)+((MIN(OTCapPct*Model!$G$17,MAX(0,(($L43)/(Cap_Tech*$C43*(1-$I43)))-Model!$G$17)))*OTCost_Tech)</f>
        <v>15835.719803714417</v>
      </c>
    </row>
    <row r="44" spans="1:17" x14ac:dyDescent="0.25">
      <c r="A44" s="11">
        <v>40</v>
      </c>
      <c r="B44" s="11" t="str">
        <f t="shared" ca="1" si="0"/>
        <v>Normal</v>
      </c>
      <c r="C44" s="11">
        <f t="shared" ca="1" si="1"/>
        <v>1</v>
      </c>
      <c r="D44" s="11">
        <f t="shared" ca="1" si="2"/>
        <v>0</v>
      </c>
      <c r="E44" s="11">
        <f t="shared" ca="1" si="3"/>
        <v>2</v>
      </c>
      <c r="F44" s="36">
        <f t="shared" ca="1" si="4"/>
        <v>1.1821940417608112</v>
      </c>
      <c r="G44" s="11">
        <f t="shared" ca="1" si="5"/>
        <v>0.10042010978546802</v>
      </c>
      <c r="H44" s="11">
        <f t="shared" ca="1" si="6"/>
        <v>7.0340355096615986E-2</v>
      </c>
      <c r="I44" s="11">
        <f t="shared" ca="1" si="7"/>
        <v>6.5232000332494905E-2</v>
      </c>
      <c r="J44" s="11">
        <f t="shared" ca="1" si="8"/>
        <v>74</v>
      </c>
      <c r="K44" s="11">
        <f t="shared" ca="1" si="9"/>
        <v>121</v>
      </c>
      <c r="L44" s="11">
        <f t="shared" ca="1" si="10"/>
        <v>58</v>
      </c>
      <c r="M44" s="11">
        <f ca="1">MAX(MAX(0,($J44*(1+0.5*Acuity_M))-(Model!$G$24*(1+OTCapPct)*(Cap_Doc*$C44*(1-$G44)))),MAX(0,($J44)-(Model!$G$6*(1+OTCapPct)*(Cap_Nurse*$C44*(1-$H44)))),MAX(0,($J44)-(Model!$G$15*(1+OTCapPct)*(Cap_Tech*$C44*(1-$I44)))),MAX(0,$J44-((BedsCurrent+BedsAdded)*ShiftHours*$F44/BedHr_M)),MAX(0,$J44*Acuity_M-(ImgBase+ImgExpOn*ImgExpAdd)),MAX(0,$J44-(LabBase+LabExpOn*LabExpAdd)))</f>
        <v>0</v>
      </c>
      <c r="N44" s="11">
        <f ca="1">MAX(MAX(0,($K44*(1+0.5*Acuity_E))-(Model!$G$25*(1+OTCapPct)*(Cap_Doc*$C44*(1-$G44)))),MAX(0,($K44)-(Model!$G$7*(1+OTCapPct)*(Cap_Nurse*$C44*(1-$H44)))),MAX(0,($K44)-(Model!$G$16*(1+OTCapPct)*(Cap_Tech*$C44*(1-$I44)))),MAX(0,$K44-((BedsCurrent+BedsAdded)*ShiftHours*$F44/BedHr_E)),MAX(0,$K44*Acuity_E-(ImgBase+ImgExpOn*ImgExpAdd)),MAX(0,$K44-(LabBase+LabExpOn*LabExpAdd)))</f>
        <v>26</v>
      </c>
      <c r="O44" s="11">
        <f ca="1">MAX(MAX(0,($L44*(1+0.5*Acuity_N))-(Model!$G$26*(1+OTCapPct)*(Cap_Doc*$C44*(1-$G44)))),MAX(0,($L44)-(Model!$G$8*(1+OTCapPct)*(Cap_Nurse*$C44*(1-$H44)))),MAX(0,($L44)-(Model!$G$17*(1+OTCapPct)*(Cap_Tech*$C44*(1-$I44)))),MAX(0,$L44-((BedsCurrent+BedsAdded)*ShiftHours*$F44/BedHr_N)),MAX(0,$L44*Acuity_N-(ImgBase+ImgExpOn*ImgExpAdd)),MAX(0,$L44-(LabBase+LabExpOn*LabExpAdd)))</f>
        <v>0</v>
      </c>
      <c r="P44" s="11">
        <f t="shared" ca="1" si="11"/>
        <v>26</v>
      </c>
      <c r="Q44" s="17">
        <f ca="1">((MIN(OTCapPct*Model!$G$24,MAX(0,(($J44*(1+0.5*Acuity_M))/(Cap_Doc*$C44*(1-$G44)))-Model!$G$24)))*OTCost_Doc)+((MIN(OTCapPct*Model!$G$6,MAX(0,(($J44)/(Cap_Nurse*$C44*(1-$H44)))-Model!$G$6)))*OTCost_Nurse)+((MIN(OTCapPct*Model!$G$15,MAX(0,(($J44)/(Cap_Tech*$C44*(1-$I44)))-Model!$G$15)))*OTCost_Tech)+((MIN(OTCapPct*Model!$G$25,MAX(0,(($K44*(1+0.5*Acuity_E))/(Cap_Doc*$C44*(1-$G44)))-Model!$G$25)))*OTCost_Doc)+((MIN(OTCapPct*Model!$G$7,MAX(0,(($K44)/(Cap_Nurse*$C44*(1-$H44)))-Model!$G$7)))*OTCost_Nurse)+((MIN(OTCapPct*Model!$G$16,MAX(0,(($K44)/(Cap_Tech*$C44*(1-$I44)))-Model!$G$16)))*OTCost_Tech)+((MIN(OTCapPct*Model!$G$26,MAX(0,(($L44*(1+0.5*Acuity_N))/(Cap_Doc*$C44*(1-$G44)))-Model!$G$26)))*OTCost_Doc)+((MIN(OTCapPct*Model!$G$8,MAX(0,(($L44)/(Cap_Nurse*$C44*(1-$H44)))-Model!$G$8)))*OTCost_Nurse)+((MIN(OTCapPct*Model!$G$17,MAX(0,(($L44)/(Cap_Tech*$C44*(1-$I44)))-Model!$G$17)))*OTCost_Tech)</f>
        <v>30169.632479390046</v>
      </c>
    </row>
    <row r="45" spans="1:17" x14ac:dyDescent="0.25">
      <c r="A45" s="11">
        <v>41</v>
      </c>
      <c r="B45" s="11" t="str">
        <f t="shared" ca="1" si="0"/>
        <v>Normal</v>
      </c>
      <c r="C45" s="11">
        <f t="shared" ca="1" si="1"/>
        <v>1</v>
      </c>
      <c r="D45" s="11">
        <f t="shared" ca="1" si="2"/>
        <v>0</v>
      </c>
      <c r="E45" s="11">
        <f t="shared" ca="1" si="3"/>
        <v>2</v>
      </c>
      <c r="F45" s="36">
        <f t="shared" ca="1" si="4"/>
        <v>1.1291418481084354</v>
      </c>
      <c r="G45" s="11">
        <f t="shared" ca="1" si="5"/>
        <v>6.8707615978677541E-2</v>
      </c>
      <c r="H45" s="11">
        <f t="shared" ca="1" si="6"/>
        <v>0.11041951503974204</v>
      </c>
      <c r="I45" s="11">
        <f t="shared" ca="1" si="7"/>
        <v>0.28073238191663435</v>
      </c>
      <c r="J45" s="11">
        <f t="shared" ca="1" si="8"/>
        <v>74</v>
      </c>
      <c r="K45" s="11">
        <f t="shared" ca="1" si="9"/>
        <v>104</v>
      </c>
      <c r="L45" s="11">
        <f t="shared" ca="1" si="10"/>
        <v>64</v>
      </c>
      <c r="M45" s="11">
        <f ca="1">MAX(MAX(0,($J45*(1+0.5*Acuity_M))-(Model!$G$24*(1+OTCapPct)*(Cap_Doc*$C45*(1-$G45)))),MAX(0,($J45)-(Model!$G$6*(1+OTCapPct)*(Cap_Nurse*$C45*(1-$H45)))),MAX(0,($J45)-(Model!$G$15*(1+OTCapPct)*(Cap_Tech*$C45*(1-$I45)))),MAX(0,$J45-((BedsCurrent+BedsAdded)*ShiftHours*$F45/BedHr_M)),MAX(0,$J45*Acuity_M-(ImgBase+ImgExpOn*ImgExpAdd)),MAX(0,$J45-(LabBase+LabExpOn*LabExpAdd)))</f>
        <v>0</v>
      </c>
      <c r="N45" s="11">
        <f ca="1">MAX(MAX(0,($K45*(1+0.5*Acuity_E))-(Model!$G$25*(1+OTCapPct)*(Cap_Doc*$C45*(1-$G45)))),MAX(0,($K45)-(Model!$G$7*(1+OTCapPct)*(Cap_Nurse*$C45*(1-$H45)))),MAX(0,($K45)-(Model!$G$16*(1+OTCapPct)*(Cap_Tech*$C45*(1-$I45)))),MAX(0,$K45-((BedsCurrent+BedsAdded)*ShiftHours*$F45/BedHr_E)),MAX(0,$K45*Acuity_E-(ImgBase+ImgExpOn*ImgExpAdd)),MAX(0,$K45-(LabBase+LabExpOn*LabExpAdd)))</f>
        <v>9</v>
      </c>
      <c r="O45" s="11">
        <f ca="1">MAX(MAX(0,($L45*(1+0.5*Acuity_N))-(Model!$G$26*(1+OTCapPct)*(Cap_Doc*$C45*(1-$G45)))),MAX(0,($L45)-(Model!$G$8*(1+OTCapPct)*(Cap_Nurse*$C45*(1-$H45)))),MAX(0,($L45)-(Model!$G$17*(1+OTCapPct)*(Cap_Tech*$C45*(1-$I45)))),MAX(0,$L45-((BedsCurrent+BedsAdded)*ShiftHours*$F45/BedHr_N)),MAX(0,$L45*Acuity_N-(ImgBase+ImgExpOn*ImgExpAdd)),MAX(0,$L45-(LabBase+LabExpOn*LabExpAdd)))</f>
        <v>0</v>
      </c>
      <c r="P45" s="11">
        <f t="shared" ca="1" si="11"/>
        <v>9</v>
      </c>
      <c r="Q45" s="17">
        <f ca="1">((MIN(OTCapPct*Model!$G$24,MAX(0,(($J45*(1+0.5*Acuity_M))/(Cap_Doc*$C45*(1-$G45)))-Model!$G$24)))*OTCost_Doc)+((MIN(OTCapPct*Model!$G$6,MAX(0,(($J45)/(Cap_Nurse*$C45*(1-$H45)))-Model!$G$6)))*OTCost_Nurse)+((MIN(OTCapPct*Model!$G$15,MAX(0,(($J45)/(Cap_Tech*$C45*(1-$I45)))-Model!$G$15)))*OTCost_Tech)+((MIN(OTCapPct*Model!$G$25,MAX(0,(($K45*(1+0.5*Acuity_E))/(Cap_Doc*$C45*(1-$G45)))-Model!$G$25)))*OTCost_Doc)+((MIN(OTCapPct*Model!$G$7,MAX(0,(($K45)/(Cap_Nurse*$C45*(1-$H45)))-Model!$G$7)))*OTCost_Nurse)+((MIN(OTCapPct*Model!$G$16,MAX(0,(($K45)/(Cap_Tech*$C45*(1-$I45)))-Model!$G$16)))*OTCost_Tech)+((MIN(OTCapPct*Model!$G$26,MAX(0,(($L45*(1+0.5*Acuity_N))/(Cap_Doc*$C45*(1-$G45)))-Model!$G$26)))*OTCost_Doc)+((MIN(OTCapPct*Model!$G$8,MAX(0,(($L45)/(Cap_Nurse*$C45*(1-$H45)))-Model!$G$8)))*OTCost_Nurse)+((MIN(OTCapPct*Model!$G$17,MAX(0,(($L45)/(Cap_Tech*$C45*(1-$I45)))-Model!$G$17)))*OTCost_Tech)</f>
        <v>12498.346946217669</v>
      </c>
    </row>
    <row r="46" spans="1:17" x14ac:dyDescent="0.25">
      <c r="A46" s="11">
        <v>42</v>
      </c>
      <c r="B46" s="11" t="str">
        <f t="shared" ca="1" si="0"/>
        <v>Complex</v>
      </c>
      <c r="C46" s="11">
        <f t="shared" ca="1" si="1"/>
        <v>0.9</v>
      </c>
      <c r="D46" s="11">
        <f t="shared" ca="1" si="2"/>
        <v>0</v>
      </c>
      <c r="E46" s="11">
        <f t="shared" ca="1" si="3"/>
        <v>1</v>
      </c>
      <c r="F46" s="36">
        <f t="shared" ca="1" si="4"/>
        <v>1.1900503505821787</v>
      </c>
      <c r="G46" s="11">
        <f t="shared" ca="1" si="5"/>
        <v>3.8024877722121014E-2</v>
      </c>
      <c r="H46" s="11">
        <f t="shared" ca="1" si="6"/>
        <v>6.6279786820675729E-2</v>
      </c>
      <c r="I46" s="11">
        <f t="shared" ca="1" si="7"/>
        <v>0</v>
      </c>
      <c r="J46" s="11">
        <f t="shared" ca="1" si="8"/>
        <v>96</v>
      </c>
      <c r="K46" s="11">
        <f t="shared" ca="1" si="9"/>
        <v>161</v>
      </c>
      <c r="L46" s="11">
        <f t="shared" ca="1" si="10"/>
        <v>51</v>
      </c>
      <c r="M46" s="11">
        <f ca="1">MAX(MAX(0,($J46*(1+0.5*Acuity_M))-(Model!$G$24*(1+OTCapPct)*(Cap_Doc*$C46*(1-$G46)))),MAX(0,($J46)-(Model!$G$6*(1+OTCapPct)*(Cap_Nurse*$C46*(1-$H46)))),MAX(0,($J46)-(Model!$G$15*(1+OTCapPct)*(Cap_Tech*$C46*(1-$I46)))),MAX(0,$J46-((BedsCurrent+BedsAdded)*ShiftHours*$F46/BedHr_M)),MAX(0,$J46*Acuity_M-(ImgBase+ImgExpOn*ImgExpAdd)),MAX(0,$J46-(LabBase+LabExpOn*LabExpAdd)))</f>
        <v>9.1600188693647624</v>
      </c>
      <c r="N46" s="11">
        <f ca="1">MAX(MAX(0,($K46*(1+0.5*Acuity_E))-(Model!$G$25*(1+OTCapPct)*(Cap_Doc*$C46*(1-$G46)))),MAX(0,($K46)-(Model!$G$7*(1+OTCapPct)*(Cap_Nurse*$C46*(1-$H46)))),MAX(0,($K46)-(Model!$G$16*(1+OTCapPct)*(Cap_Tech*$C46*(1-$I46)))),MAX(0,$K46-((BedsCurrent+BedsAdded)*ShiftHours*$F46/BedHr_E)),MAX(0,$K46*Acuity_E-(ImgBase+ImgExpOn*ImgExpAdd)),MAX(0,$K46-(LabBase+LabExpOn*LabExpAdd)))</f>
        <v>66</v>
      </c>
      <c r="O46" s="11">
        <f ca="1">MAX(MAX(0,($L46*(1+0.5*Acuity_N))-(Model!$G$26*(1+OTCapPct)*(Cap_Doc*$C46*(1-$G46)))),MAX(0,($L46)-(Model!$G$8*(1+OTCapPct)*(Cap_Nurse*$C46*(1-$H46)))),MAX(0,($L46)-(Model!$G$17*(1+OTCapPct)*(Cap_Tech*$C46*(1-$I46)))),MAX(0,$L46-((BedsCurrent+BedsAdded)*ShiftHours*$F46/BedHr_N)),MAX(0,$L46*Acuity_N-(ImgBase+ImgExpOn*ImgExpAdd)),MAX(0,$L46-(LabBase+LabExpOn*LabExpAdd)))</f>
        <v>0</v>
      </c>
      <c r="P46" s="11">
        <f t="shared" ca="1" si="11"/>
        <v>75.160018869364762</v>
      </c>
      <c r="Q46" s="17">
        <f ca="1">((MIN(OTCapPct*Model!$G$24,MAX(0,(($J46*(1+0.5*Acuity_M))/(Cap_Doc*$C46*(1-$G46)))-Model!$G$24)))*OTCost_Doc)+((MIN(OTCapPct*Model!$G$6,MAX(0,(($J46)/(Cap_Nurse*$C46*(1-$H46)))-Model!$G$6)))*OTCost_Nurse)+((MIN(OTCapPct*Model!$G$15,MAX(0,(($J46)/(Cap_Tech*$C46*(1-$I46)))-Model!$G$15)))*OTCost_Tech)+((MIN(OTCapPct*Model!$G$25,MAX(0,(($K46*(1+0.5*Acuity_E))/(Cap_Doc*$C46*(1-$G46)))-Model!$G$25)))*OTCost_Doc)+((MIN(OTCapPct*Model!$G$7,MAX(0,(($K46)/(Cap_Nurse*$C46*(1-$H46)))-Model!$G$7)))*OTCost_Nurse)+((MIN(OTCapPct*Model!$G$16,MAX(0,(($K46)/(Cap_Tech*$C46*(1-$I46)))-Model!$G$16)))*OTCost_Tech)+((MIN(OTCapPct*Model!$G$26,MAX(0,(($L46*(1+0.5*Acuity_N))/(Cap_Doc*$C46*(1-$G46)))-Model!$G$26)))*OTCost_Doc)+((MIN(OTCapPct*Model!$G$8,MAX(0,(($L46)/(Cap_Nurse*$C46*(1-$H46)))-Model!$G$8)))*OTCost_Nurse)+((MIN(OTCapPct*Model!$G$17,MAX(0,(($L46)/(Cap_Tech*$C46*(1-$I46)))-Model!$G$17)))*OTCost_Tech)</f>
        <v>75902.777777777781</v>
      </c>
    </row>
    <row r="47" spans="1:17" x14ac:dyDescent="0.25">
      <c r="A47" s="11">
        <v>43</v>
      </c>
      <c r="B47" s="11" t="str">
        <f t="shared" ca="1" si="0"/>
        <v>Normal</v>
      </c>
      <c r="C47" s="11">
        <f t="shared" ca="1" si="1"/>
        <v>1</v>
      </c>
      <c r="D47" s="11">
        <f t="shared" ca="1" si="2"/>
        <v>0</v>
      </c>
      <c r="E47" s="11">
        <f t="shared" ca="1" si="3"/>
        <v>3</v>
      </c>
      <c r="F47" s="36">
        <f t="shared" ca="1" si="4"/>
        <v>0.80372710174043926</v>
      </c>
      <c r="G47" s="11">
        <f t="shared" ca="1" si="5"/>
        <v>0</v>
      </c>
      <c r="H47" s="11">
        <f t="shared" ca="1" si="6"/>
        <v>9.2832363318976735E-2</v>
      </c>
      <c r="I47" s="11">
        <f t="shared" ca="1" si="7"/>
        <v>8.5692555802855647E-2</v>
      </c>
      <c r="J47" s="11">
        <f t="shared" ca="1" si="8"/>
        <v>84</v>
      </c>
      <c r="K47" s="11">
        <f t="shared" ca="1" si="9"/>
        <v>141</v>
      </c>
      <c r="L47" s="11">
        <f t="shared" ca="1" si="10"/>
        <v>76</v>
      </c>
      <c r="M47" s="11">
        <f ca="1">MAX(MAX(0,($J47*(1+0.5*Acuity_M))-(Model!$G$24*(1+OTCapPct)*(Cap_Doc*$C47*(1-$G47)))),MAX(0,($J47)-(Model!$G$6*(1+OTCapPct)*(Cap_Nurse*$C47*(1-$H47)))),MAX(0,($J47)-(Model!$G$15*(1+OTCapPct)*(Cap_Tech*$C47*(1-$I47)))),MAX(0,$J47-((BedsCurrent+BedsAdded)*ShiftHours*$F47/BedHr_M)),MAX(0,$J47*Acuity_M-(ImgBase+ImgExpOn*ImgExpAdd)),MAX(0,$J47-(LabBase+LabExpOn*LabExpAdd)))</f>
        <v>0</v>
      </c>
      <c r="N47" s="11">
        <f ca="1">MAX(MAX(0,($K47*(1+0.5*Acuity_E))-(Model!$G$25*(1+OTCapPct)*(Cap_Doc*$C47*(1-$G47)))),MAX(0,($K47)-(Model!$G$7*(1+OTCapPct)*(Cap_Nurse*$C47*(1-$H47)))),MAX(0,($K47)-(Model!$G$16*(1+OTCapPct)*(Cap_Tech*$C47*(1-$I47)))),MAX(0,$K47-((BedsCurrent+BedsAdded)*ShiftHours*$F47/BedHr_E)),MAX(0,$K47*Acuity_E-(ImgBase+ImgExpOn*ImgExpAdd)),MAX(0,$K47-(LabBase+LabExpOn*LabExpAdd)))</f>
        <v>53.554491330640218</v>
      </c>
      <c r="O47" s="11">
        <f ca="1">MAX(MAX(0,($L47*(1+0.5*Acuity_N))-(Model!$G$26*(1+OTCapPct)*(Cap_Doc*$C47*(1-$G47)))),MAX(0,($L47)-(Model!$G$8*(1+OTCapPct)*(Cap_Nurse*$C47*(1-$H47)))),MAX(0,($L47)-(Model!$G$17*(1+OTCapPct)*(Cap_Tech*$C47*(1-$I47)))),MAX(0,$L47-((BedsCurrent+BedsAdded)*ShiftHours*$F47/BedHr_N)),MAX(0,$L47*Acuity_N-(ImgBase+ImgExpOn*ImgExpAdd)),MAX(0,$L47-(LabBase+LabExpOn*LabExpAdd)))</f>
        <v>0</v>
      </c>
      <c r="P47" s="11">
        <f t="shared" ca="1" si="11"/>
        <v>53.554491330640218</v>
      </c>
      <c r="Q47" s="17">
        <f ca="1">((MIN(OTCapPct*Model!$G$24,MAX(0,(($J47*(1+0.5*Acuity_M))/(Cap_Doc*$C47*(1-$G47)))-Model!$G$24)))*OTCost_Doc)+((MIN(OTCapPct*Model!$G$6,MAX(0,(($J47)/(Cap_Nurse*$C47*(1-$H47)))-Model!$G$6)))*OTCost_Nurse)+((MIN(OTCapPct*Model!$G$15,MAX(0,(($J47)/(Cap_Tech*$C47*(1-$I47)))-Model!$G$15)))*OTCost_Tech)+((MIN(OTCapPct*Model!$G$25,MAX(0,(($K47*(1+0.5*Acuity_E))/(Cap_Doc*$C47*(1-$G47)))-Model!$G$25)))*OTCost_Doc)+((MIN(OTCapPct*Model!$G$7,MAX(0,(($K47)/(Cap_Nurse*$C47*(1-$H47)))-Model!$G$7)))*OTCost_Nurse)+((MIN(OTCapPct*Model!$G$16,MAX(0,(($K47)/(Cap_Tech*$C47*(1-$I47)))-Model!$G$16)))*OTCost_Tech)+((MIN(OTCapPct*Model!$G$26,MAX(0,(($L47*(1+0.5*Acuity_N))/(Cap_Doc*$C47*(1-$G47)))-Model!$G$26)))*OTCost_Doc)+((MIN(OTCapPct*Model!$G$8,MAX(0,(($L47)/(Cap_Nurse*$C47*(1-$H47)))-Model!$G$8)))*OTCost_Nurse)+((MIN(OTCapPct*Model!$G$17,MAX(0,(($L47)/(Cap_Tech*$C47*(1-$I47)))-Model!$G$17)))*OTCost_Tech)</f>
        <v>70202.584169041278</v>
      </c>
    </row>
    <row r="48" spans="1:17" x14ac:dyDescent="0.25">
      <c r="A48" s="11">
        <v>44</v>
      </c>
      <c r="B48" s="11" t="str">
        <f t="shared" ca="1" si="0"/>
        <v>Complex</v>
      </c>
      <c r="C48" s="11">
        <f t="shared" ca="1" si="1"/>
        <v>0.9</v>
      </c>
      <c r="D48" s="11">
        <f t="shared" ca="1" si="2"/>
        <v>0</v>
      </c>
      <c r="E48" s="11">
        <f t="shared" ca="1" si="3"/>
        <v>2</v>
      </c>
      <c r="F48" s="36">
        <f t="shared" ca="1" si="4"/>
        <v>1.0147524449893752</v>
      </c>
      <c r="G48" s="11">
        <f t="shared" ca="1" si="5"/>
        <v>6.8644699733178535E-2</v>
      </c>
      <c r="H48" s="11">
        <f t="shared" ca="1" si="6"/>
        <v>7.9234202812629981E-2</v>
      </c>
      <c r="I48" s="11">
        <f t="shared" ca="1" si="7"/>
        <v>0.19002668899341196</v>
      </c>
      <c r="J48" s="11">
        <f t="shared" ca="1" si="8"/>
        <v>89</v>
      </c>
      <c r="K48" s="11">
        <f t="shared" ca="1" si="9"/>
        <v>116</v>
      </c>
      <c r="L48" s="11">
        <f t="shared" ca="1" si="10"/>
        <v>61</v>
      </c>
      <c r="M48" s="11">
        <f ca="1">MAX(MAX(0,($J48*(1+0.5*Acuity_M))-(Model!$G$24*(1+OTCapPct)*(Cap_Doc*$C48*(1-$G48)))),MAX(0,($J48)-(Model!$G$6*(1+OTCapPct)*(Cap_Nurse*$C48*(1-$H48)))),MAX(0,($J48)-(Model!$G$15*(1+OTCapPct)*(Cap_Tech*$C48*(1-$I48)))),MAX(0,$J48-((BedsCurrent+BedsAdded)*ShiftHours*$F48/BedHr_M)),MAX(0,$J48*Acuity_M-(ImgBase+ImgExpOn*ImgExpAdd)),MAX(0,$J48-(LabBase+LabExpOn*LabExpAdd)))</f>
        <v>6.9902022605829615</v>
      </c>
      <c r="N48" s="11">
        <f ca="1">MAX(MAX(0,($K48*(1+0.5*Acuity_E))-(Model!$G$25*(1+OTCapPct)*(Cap_Doc*$C48*(1-$G48)))),MAX(0,($K48)-(Model!$G$7*(1+OTCapPct)*(Cap_Nurse*$C48*(1-$H48)))),MAX(0,($K48)-(Model!$G$16*(1+OTCapPct)*(Cap_Tech*$C48*(1-$I48)))),MAX(0,$K48-((BedsCurrent+BedsAdded)*ShiftHours*$F48/BedHr_E)),MAX(0,$K48*Acuity_E-(ImgBase+ImgExpOn*ImgExpAdd)),MAX(0,$K48-(LabBase+LabExpOn*LabExpAdd)))</f>
        <v>21</v>
      </c>
      <c r="O48" s="11">
        <f ca="1">MAX(MAX(0,($L48*(1+0.5*Acuity_N))-(Model!$G$26*(1+OTCapPct)*(Cap_Doc*$C48*(1-$G48)))),MAX(0,($L48)-(Model!$G$8*(1+OTCapPct)*(Cap_Nurse*$C48*(1-$H48)))),MAX(0,($L48)-(Model!$G$17*(1+OTCapPct)*(Cap_Tech*$C48*(1-$I48)))),MAX(0,$L48-((BedsCurrent+BedsAdded)*ShiftHours*$F48/BedHr_N)),MAX(0,$L48*Acuity_N-(ImgBase+ImgExpOn*ImgExpAdd)),MAX(0,$L48-(LabBase+LabExpOn*LabExpAdd)))</f>
        <v>0</v>
      </c>
      <c r="P48" s="11">
        <f t="shared" ca="1" si="11"/>
        <v>27.990202260582961</v>
      </c>
      <c r="Q48" s="17">
        <f ca="1">((MIN(OTCapPct*Model!$G$24,MAX(0,(($J48*(1+0.5*Acuity_M))/(Cap_Doc*$C48*(1-$G48)))-Model!$G$24)))*OTCost_Doc)+((MIN(OTCapPct*Model!$G$6,MAX(0,(($J48)/(Cap_Nurse*$C48*(1-$H48)))-Model!$G$6)))*OTCost_Nurse)+((MIN(OTCapPct*Model!$G$15,MAX(0,(($J48)/(Cap_Tech*$C48*(1-$I48)))-Model!$G$15)))*OTCost_Tech)+((MIN(OTCapPct*Model!$G$25,MAX(0,(($K48*(1+0.5*Acuity_E))/(Cap_Doc*$C48*(1-$G48)))-Model!$G$25)))*OTCost_Doc)+((MIN(OTCapPct*Model!$G$7,MAX(0,(($K48)/(Cap_Nurse*$C48*(1-$H48)))-Model!$G$7)))*OTCost_Nurse)+((MIN(OTCapPct*Model!$G$16,MAX(0,(($K48)/(Cap_Tech*$C48*(1-$I48)))-Model!$G$16)))*OTCost_Tech)+((MIN(OTCapPct*Model!$G$26,MAX(0,(($L48*(1+0.5*Acuity_N))/(Cap_Doc*$C48*(1-$G48)))-Model!$G$26)))*OTCost_Doc)+((MIN(OTCapPct*Model!$G$8,MAX(0,(($L48)/(Cap_Nurse*$C48*(1-$H48)))-Model!$G$8)))*OTCost_Nurse)+((MIN(OTCapPct*Model!$G$17,MAX(0,(($L48)/(Cap_Tech*$C48*(1-$I48)))-Model!$G$17)))*OTCost_Tech)</f>
        <v>81086.711743234497</v>
      </c>
    </row>
    <row r="49" spans="1:17" x14ac:dyDescent="0.25">
      <c r="A49" s="11">
        <v>45</v>
      </c>
      <c r="B49" s="11" t="str">
        <f t="shared" ca="1" si="0"/>
        <v>Normal</v>
      </c>
      <c r="C49" s="11">
        <f t="shared" ca="1" si="1"/>
        <v>1</v>
      </c>
      <c r="D49" s="11">
        <f t="shared" ca="1" si="2"/>
        <v>0</v>
      </c>
      <c r="E49" s="11">
        <f t="shared" ca="1" si="3"/>
        <v>3</v>
      </c>
      <c r="F49" s="36">
        <f t="shared" ca="1" si="4"/>
        <v>1.0883355220206146</v>
      </c>
      <c r="G49" s="11">
        <f t="shared" ca="1" si="5"/>
        <v>0.10644914055330301</v>
      </c>
      <c r="H49" s="11">
        <f t="shared" ca="1" si="6"/>
        <v>3.9716076520044774E-2</v>
      </c>
      <c r="I49" s="11">
        <f t="shared" ca="1" si="7"/>
        <v>0.1315909113134924</v>
      </c>
      <c r="J49" s="11">
        <f t="shared" ca="1" si="8"/>
        <v>105</v>
      </c>
      <c r="K49" s="11">
        <f t="shared" ca="1" si="9"/>
        <v>129</v>
      </c>
      <c r="L49" s="11">
        <f t="shared" ca="1" si="10"/>
        <v>52</v>
      </c>
      <c r="M49" s="11">
        <f ca="1">MAX(MAX(0,($J49*(1+0.5*Acuity_M))-(Model!$G$24*(1+OTCapPct)*(Cap_Doc*$C49*(1-$G49)))),MAX(0,($J49)-(Model!$G$6*(1+OTCapPct)*(Cap_Nurse*$C49*(1-$H49)))),MAX(0,($J49)-(Model!$G$15*(1+OTCapPct)*(Cap_Tech*$C49*(1-$I49)))),MAX(0,$J49-((BedsCurrent+BedsAdded)*ShiftHours*$F49/BedHr_M)),MAX(0,$J49*Acuity_M-(ImgBase+ImgExpOn*ImgExpAdd)),MAX(0,$J49-(LabBase+LabExpOn*LabExpAdd)))</f>
        <v>16.025528312246607</v>
      </c>
      <c r="N49" s="11">
        <f ca="1">MAX(MAX(0,($K49*(1+0.5*Acuity_E))-(Model!$G$25*(1+OTCapPct)*(Cap_Doc*$C49*(1-$G49)))),MAX(0,($K49)-(Model!$G$7*(1+OTCapPct)*(Cap_Nurse*$C49*(1-$H49)))),MAX(0,($K49)-(Model!$G$16*(1+OTCapPct)*(Cap_Tech*$C49*(1-$I49)))),MAX(0,$K49-((BedsCurrent+BedsAdded)*ShiftHours*$F49/BedHr_E)),MAX(0,$K49*Acuity_E-(ImgBase+ImgExpOn*ImgExpAdd)),MAX(0,$K49-(LabBase+LabExpOn*LabExpAdd)))</f>
        <v>34</v>
      </c>
      <c r="O49" s="11">
        <f ca="1">MAX(MAX(0,($L49*(1+0.5*Acuity_N))-(Model!$G$26*(1+OTCapPct)*(Cap_Doc*$C49*(1-$G49)))),MAX(0,($L49)-(Model!$G$8*(1+OTCapPct)*(Cap_Nurse*$C49*(1-$H49)))),MAX(0,($L49)-(Model!$G$17*(1+OTCapPct)*(Cap_Tech*$C49*(1-$I49)))),MAX(0,$L49-((BedsCurrent+BedsAdded)*ShiftHours*$F49/BedHr_N)),MAX(0,$L49*Acuity_N-(ImgBase+ImgExpOn*ImgExpAdd)),MAX(0,$L49-(LabBase+LabExpOn*LabExpAdd)))</f>
        <v>0</v>
      </c>
      <c r="P49" s="11">
        <f t="shared" ca="1" si="11"/>
        <v>50.025528312246607</v>
      </c>
      <c r="Q49" s="17">
        <f ca="1">((MIN(OTCapPct*Model!$G$24,MAX(0,(($J49*(1+0.5*Acuity_M))/(Cap_Doc*$C49*(1-$G49)))-Model!$G$24)))*OTCost_Doc)+((MIN(OTCapPct*Model!$G$6,MAX(0,(($J49)/(Cap_Nurse*$C49*(1-$H49)))-Model!$G$6)))*OTCost_Nurse)+((MIN(OTCapPct*Model!$G$15,MAX(0,(($J49)/(Cap_Tech*$C49*(1-$I49)))-Model!$G$15)))*OTCost_Tech)+((MIN(OTCapPct*Model!$G$25,MAX(0,(($K49*(1+0.5*Acuity_E))/(Cap_Doc*$C49*(1-$G49)))-Model!$G$25)))*OTCost_Doc)+((MIN(OTCapPct*Model!$G$7,MAX(0,(($K49)/(Cap_Nurse*$C49*(1-$H49)))-Model!$G$7)))*OTCost_Nurse)+((MIN(OTCapPct*Model!$G$16,MAX(0,(($K49)/(Cap_Tech*$C49*(1-$I49)))-Model!$G$16)))*OTCost_Tech)+((MIN(OTCapPct*Model!$G$26,MAX(0,(($L49*(1+0.5*Acuity_N))/(Cap_Doc*$C49*(1-$G49)))-Model!$G$26)))*OTCost_Doc)+((MIN(OTCapPct*Model!$G$8,MAX(0,(($L49)/(Cap_Nurse*$C49*(1-$H49)))-Model!$G$8)))*OTCost_Nurse)+((MIN(OTCapPct*Model!$G$17,MAX(0,(($L49)/(Cap_Tech*$C49*(1-$I49)))-Model!$G$17)))*OTCost_Tech)</f>
        <v>68147.854678275806</v>
      </c>
    </row>
    <row r="50" spans="1:17" x14ac:dyDescent="0.25">
      <c r="A50" s="11">
        <v>46</v>
      </c>
      <c r="B50" s="11" t="str">
        <f t="shared" ca="1" si="0"/>
        <v>Normal</v>
      </c>
      <c r="C50" s="11">
        <f t="shared" ca="1" si="1"/>
        <v>1</v>
      </c>
      <c r="D50" s="11">
        <f t="shared" ca="1" si="2"/>
        <v>0</v>
      </c>
      <c r="E50" s="11">
        <f t="shared" ca="1" si="3"/>
        <v>2</v>
      </c>
      <c r="F50" s="36">
        <f t="shared" ca="1" si="4"/>
        <v>0.89744393157373681</v>
      </c>
      <c r="G50" s="11">
        <f t="shared" ca="1" si="5"/>
        <v>5.3192887880019801E-2</v>
      </c>
      <c r="H50" s="11">
        <f t="shared" ca="1" si="6"/>
        <v>3.7354196718557123E-2</v>
      </c>
      <c r="I50" s="11">
        <f t="shared" ca="1" si="7"/>
        <v>0.14984590351988836</v>
      </c>
      <c r="J50" s="11">
        <f t="shared" ca="1" si="8"/>
        <v>90</v>
      </c>
      <c r="K50" s="11">
        <f t="shared" ca="1" si="9"/>
        <v>127</v>
      </c>
      <c r="L50" s="11">
        <f t="shared" ca="1" si="10"/>
        <v>86</v>
      </c>
      <c r="M50" s="11">
        <f ca="1">MAX(MAX(0,($J50*(1+0.5*Acuity_M))-(Model!$G$24*(1+OTCapPct)*(Cap_Doc*$C50*(1-$G50)))),MAX(0,($J50)-(Model!$G$6*(1+OTCapPct)*(Cap_Nurse*$C50*(1-$H50)))),MAX(0,($J50)-(Model!$G$15*(1+OTCapPct)*(Cap_Tech*$C50*(1-$I50)))),MAX(0,$J50-((BedsCurrent+BedsAdded)*ShiftHours*$F50/BedHr_M)),MAX(0,$J50*Acuity_M-(ImgBase+ImgExpOn*ImgExpAdd)),MAX(0,$J50-(LabBase+LabExpOn*LabExpAdd)))</f>
        <v>0</v>
      </c>
      <c r="N50" s="11">
        <f ca="1">MAX(MAX(0,($K50*(1+0.5*Acuity_E))-(Model!$G$25*(1+OTCapPct)*(Cap_Doc*$C50*(1-$G50)))),MAX(0,($K50)-(Model!$G$7*(1+OTCapPct)*(Cap_Nurse*$C50*(1-$H50)))),MAX(0,($K50)-(Model!$G$16*(1+OTCapPct)*(Cap_Tech*$C50*(1-$I50)))),MAX(0,$K50-((BedsCurrent+BedsAdded)*ShiftHours*$F50/BedHr_E)),MAX(0,$K50*Acuity_E-(ImgBase+ImgExpOn*ImgExpAdd)),MAX(0,$K50-(LabBase+LabExpOn*LabExpAdd)))</f>
        <v>32</v>
      </c>
      <c r="O50" s="11">
        <f ca="1">MAX(MAX(0,($L50*(1+0.5*Acuity_N))-(Model!$G$26*(1+OTCapPct)*(Cap_Doc*$C50*(1-$G50)))),MAX(0,($L50)-(Model!$G$8*(1+OTCapPct)*(Cap_Nurse*$C50*(1-$H50)))),MAX(0,($L50)-(Model!$G$17*(1+OTCapPct)*(Cap_Tech*$C50*(1-$I50)))),MAX(0,$L50-((BedsCurrent+BedsAdded)*ShiftHours*$F50/BedHr_N)),MAX(0,$L50*Acuity_N-(ImgBase+ImgExpOn*ImgExpAdd)),MAX(0,$L50-(LabBase+LabExpOn*LabExpAdd)))</f>
        <v>13.687359909201774</v>
      </c>
      <c r="P50" s="11">
        <f t="shared" ca="1" si="11"/>
        <v>45.687359909201774</v>
      </c>
      <c r="Q50" s="17">
        <f ca="1">((MIN(OTCapPct*Model!$G$24,MAX(0,(($J50*(1+0.5*Acuity_M))/(Cap_Doc*$C50*(1-$G50)))-Model!$G$24)))*OTCost_Doc)+((MIN(OTCapPct*Model!$G$6,MAX(0,(($J50)/(Cap_Nurse*$C50*(1-$H50)))-Model!$G$6)))*OTCost_Nurse)+((MIN(OTCapPct*Model!$G$15,MAX(0,(($J50)/(Cap_Tech*$C50*(1-$I50)))-Model!$G$15)))*OTCost_Tech)+((MIN(OTCapPct*Model!$G$25,MAX(0,(($K50*(1+0.5*Acuity_E))/(Cap_Doc*$C50*(1-$G50)))-Model!$G$25)))*OTCost_Doc)+((MIN(OTCapPct*Model!$G$7,MAX(0,(($K50)/(Cap_Nurse*$C50*(1-$H50)))-Model!$G$7)))*OTCost_Nurse)+((MIN(OTCapPct*Model!$G$16,MAX(0,(($K50)/(Cap_Tech*$C50*(1-$I50)))-Model!$G$16)))*OTCost_Tech)+((MIN(OTCapPct*Model!$G$26,MAX(0,(($L50*(1+0.5*Acuity_N))/(Cap_Doc*$C50*(1-$G50)))-Model!$G$26)))*OTCost_Doc)+((MIN(OTCapPct*Model!$G$8,MAX(0,(($L50)/(Cap_Nurse*$C50*(1-$H50)))-Model!$G$8)))*OTCost_Nurse)+((MIN(OTCapPct*Model!$G$17,MAX(0,(($L50)/(Cap_Tech*$C50*(1-$I50)))-Model!$G$17)))*OTCost_Tech)</f>
        <v>75714.486222260544</v>
      </c>
    </row>
    <row r="51" spans="1:17" x14ac:dyDescent="0.25">
      <c r="A51" s="11">
        <v>47</v>
      </c>
      <c r="B51" s="11" t="str">
        <f t="shared" ca="1" si="0"/>
        <v>Normal</v>
      </c>
      <c r="C51" s="11">
        <f t="shared" ca="1" si="1"/>
        <v>1</v>
      </c>
      <c r="D51" s="11">
        <f t="shared" ca="1" si="2"/>
        <v>0</v>
      </c>
      <c r="E51" s="11">
        <f t="shared" ca="1" si="3"/>
        <v>2</v>
      </c>
      <c r="F51" s="36">
        <f t="shared" ca="1" si="4"/>
        <v>1.1998532563337574</v>
      </c>
      <c r="G51" s="11">
        <f t="shared" ca="1" si="5"/>
        <v>3.6956594106967319E-2</v>
      </c>
      <c r="H51" s="11">
        <f t="shared" ca="1" si="6"/>
        <v>9.3769806259650312E-2</v>
      </c>
      <c r="I51" s="11">
        <f t="shared" ca="1" si="7"/>
        <v>3.2036019847198748E-2</v>
      </c>
      <c r="J51" s="11">
        <f t="shared" ca="1" si="8"/>
        <v>84</v>
      </c>
      <c r="K51" s="11">
        <f t="shared" ca="1" si="9"/>
        <v>148</v>
      </c>
      <c r="L51" s="11">
        <f t="shared" ca="1" si="10"/>
        <v>62</v>
      </c>
      <c r="M51" s="11">
        <f ca="1">MAX(MAX(0,($J51*(1+0.5*Acuity_M))-(Model!$G$24*(1+OTCapPct)*(Cap_Doc*$C51*(1-$G51)))),MAX(0,($J51)-(Model!$G$6*(1+OTCapPct)*(Cap_Nurse*$C51*(1-$H51)))),MAX(0,($J51)-(Model!$G$15*(1+OTCapPct)*(Cap_Tech*$C51*(1-$I51)))),MAX(0,$J51-((BedsCurrent+BedsAdded)*ShiftHours*$F51/BedHr_M)),MAX(0,$J51*Acuity_M-(ImgBase+ImgExpOn*ImgExpAdd)),MAX(0,$J51-(LabBase+LabExpOn*LabExpAdd)))</f>
        <v>0</v>
      </c>
      <c r="N51" s="11">
        <f ca="1">MAX(MAX(0,($K51*(1+0.5*Acuity_E))-(Model!$G$25*(1+OTCapPct)*(Cap_Doc*$C51*(1-$G51)))),MAX(0,($K51)-(Model!$G$7*(1+OTCapPct)*(Cap_Nurse*$C51*(1-$H51)))),MAX(0,($K51)-(Model!$G$16*(1+OTCapPct)*(Cap_Tech*$C51*(1-$I51)))),MAX(0,$K51-((BedsCurrent+BedsAdded)*ShiftHours*$F51/BedHr_E)),MAX(0,$K51*Acuity_E-(ImgBase+ImgExpOn*ImgExpAdd)),MAX(0,$K51-(LabBase+LabExpOn*LabExpAdd)))</f>
        <v>53</v>
      </c>
      <c r="O51" s="11">
        <f ca="1">MAX(MAX(0,($L51*(1+0.5*Acuity_N))-(Model!$G$26*(1+OTCapPct)*(Cap_Doc*$C51*(1-$G51)))),MAX(0,($L51)-(Model!$G$8*(1+OTCapPct)*(Cap_Nurse*$C51*(1-$H51)))),MAX(0,($L51)-(Model!$G$17*(1+OTCapPct)*(Cap_Tech*$C51*(1-$I51)))),MAX(0,$L51-((BedsCurrent+BedsAdded)*ShiftHours*$F51/BedHr_N)),MAX(0,$L51*Acuity_N-(ImgBase+ImgExpOn*ImgExpAdd)),MAX(0,$L51-(LabBase+LabExpOn*LabExpAdd)))</f>
        <v>0</v>
      </c>
      <c r="P51" s="11">
        <f t="shared" ca="1" si="11"/>
        <v>53</v>
      </c>
      <c r="Q51" s="17">
        <f ca="1">((MIN(OTCapPct*Model!$G$24,MAX(0,(($J51*(1+0.5*Acuity_M))/(Cap_Doc*$C51*(1-$G51)))-Model!$G$24)))*OTCost_Doc)+((MIN(OTCapPct*Model!$G$6,MAX(0,(($J51)/(Cap_Nurse*$C51*(1-$H51)))-Model!$G$6)))*OTCost_Nurse)+((MIN(OTCapPct*Model!$G$15,MAX(0,(($J51)/(Cap_Tech*$C51*(1-$I51)))-Model!$G$15)))*OTCost_Tech)+((MIN(OTCapPct*Model!$G$25,MAX(0,(($K51*(1+0.5*Acuity_E))/(Cap_Doc*$C51*(1-$G51)))-Model!$G$25)))*OTCost_Doc)+((MIN(OTCapPct*Model!$G$7,MAX(0,(($K51)/(Cap_Nurse*$C51*(1-$H51)))-Model!$G$7)))*OTCost_Nurse)+((MIN(OTCapPct*Model!$G$16,MAX(0,(($K51)/(Cap_Tech*$C51*(1-$I51)))-Model!$G$16)))*OTCost_Tech)+((MIN(OTCapPct*Model!$G$26,MAX(0,(($L51*(1+0.5*Acuity_N))/(Cap_Doc*$C51*(1-$G51)))-Model!$G$26)))*OTCost_Doc)+((MIN(OTCapPct*Model!$G$8,MAX(0,(($L51)/(Cap_Nurse*$C51*(1-$H51)))-Model!$G$8)))*OTCost_Nurse)+((MIN(OTCapPct*Model!$G$17,MAX(0,(($L51)/(Cap_Tech*$C51*(1-$I51)))-Model!$G$17)))*OTCost_Tech)</f>
        <v>56223.635539916984</v>
      </c>
    </row>
    <row r="52" spans="1:17" x14ac:dyDescent="0.25">
      <c r="A52" s="11">
        <v>48</v>
      </c>
      <c r="B52" s="11" t="str">
        <f t="shared" ca="1" si="0"/>
        <v>Normal</v>
      </c>
      <c r="C52" s="11">
        <f t="shared" ca="1" si="1"/>
        <v>1</v>
      </c>
      <c r="D52" s="11">
        <f t="shared" ca="1" si="2"/>
        <v>0</v>
      </c>
      <c r="E52" s="11">
        <f t="shared" ca="1" si="3"/>
        <v>2</v>
      </c>
      <c r="F52" s="36">
        <f t="shared" ca="1" si="4"/>
        <v>0.81248740365577277</v>
      </c>
      <c r="G52" s="11">
        <f t="shared" ca="1" si="5"/>
        <v>0.13118945753000882</v>
      </c>
      <c r="H52" s="11">
        <f t="shared" ca="1" si="6"/>
        <v>8.0395445490269904E-2</v>
      </c>
      <c r="I52" s="11">
        <f t="shared" ca="1" si="7"/>
        <v>3.2710999523423351E-2</v>
      </c>
      <c r="J52" s="11">
        <f t="shared" ca="1" si="8"/>
        <v>70</v>
      </c>
      <c r="K52" s="11">
        <f t="shared" ca="1" si="9"/>
        <v>123</v>
      </c>
      <c r="L52" s="11">
        <f t="shared" ca="1" si="10"/>
        <v>78</v>
      </c>
      <c r="M52" s="11">
        <f ca="1">MAX(MAX(0,($J52*(1+0.5*Acuity_M))-(Model!$G$24*(1+OTCapPct)*(Cap_Doc*$C52*(1-$G52)))),MAX(0,($J52)-(Model!$G$6*(1+OTCapPct)*(Cap_Nurse*$C52*(1-$H52)))),MAX(0,($J52)-(Model!$G$15*(1+OTCapPct)*(Cap_Tech*$C52*(1-$I52)))),MAX(0,$J52-((BedsCurrent+BedsAdded)*ShiftHours*$F52/BedHr_M)),MAX(0,$J52*Acuity_M-(ImgBase+ImgExpOn*ImgExpAdd)),MAX(0,$J52-(LabBase+LabExpOn*LabExpAdd)))</f>
        <v>0</v>
      </c>
      <c r="N52" s="11">
        <f ca="1">MAX(MAX(0,($K52*(1+0.5*Acuity_E))-(Model!$G$25*(1+OTCapPct)*(Cap_Doc*$C52*(1-$G52)))),MAX(0,($K52)-(Model!$G$7*(1+OTCapPct)*(Cap_Nurse*$C52*(1-$H52)))),MAX(0,($K52)-(Model!$G$16*(1+OTCapPct)*(Cap_Tech*$C52*(1-$I52)))),MAX(0,$K52-((BedsCurrent+BedsAdded)*ShiftHours*$F52/BedHr_E)),MAX(0,$K52*Acuity_E-(ImgBase+ImgExpOn*ImgExpAdd)),MAX(0,$K52-(LabBase+LabExpOn*LabExpAdd)))</f>
        <v>34.601370482251923</v>
      </c>
      <c r="O52" s="11">
        <f ca="1">MAX(MAX(0,($L52*(1+0.5*Acuity_N))-(Model!$G$26*(1+OTCapPct)*(Cap_Doc*$C52*(1-$G52)))),MAX(0,($L52)-(Model!$G$8*(1+OTCapPct)*(Cap_Nurse*$C52*(1-$H52)))),MAX(0,($L52)-(Model!$G$17*(1+OTCapPct)*(Cap_Tech*$C52*(1-$I52)))),MAX(0,$L52-((BedsCurrent+BedsAdded)*ShiftHours*$F52/BedHr_N)),MAX(0,$L52*Acuity_N-(ImgBase+ImgExpOn*ImgExpAdd)),MAX(0,$L52-(LabBase+LabExpOn*LabExpAdd)))</f>
        <v>11.507051177700774</v>
      </c>
      <c r="P52" s="11">
        <f t="shared" ca="1" si="11"/>
        <v>46.108421659952697</v>
      </c>
      <c r="Q52" s="17">
        <f ca="1">((MIN(OTCapPct*Model!$G$24,MAX(0,(($J52*(1+0.5*Acuity_M))/(Cap_Doc*$C52*(1-$G52)))-Model!$G$24)))*OTCost_Doc)+((MIN(OTCapPct*Model!$G$6,MAX(0,(($J52)/(Cap_Nurse*$C52*(1-$H52)))-Model!$G$6)))*OTCost_Nurse)+((MIN(OTCapPct*Model!$G$15,MAX(0,(($J52)/(Cap_Tech*$C52*(1-$I52)))-Model!$G$15)))*OTCost_Tech)+((MIN(OTCapPct*Model!$G$25,MAX(0,(($K52*(1+0.5*Acuity_E))/(Cap_Doc*$C52*(1-$G52)))-Model!$G$25)))*OTCost_Doc)+((MIN(OTCapPct*Model!$G$7,MAX(0,(($K52)/(Cap_Nurse*$C52*(1-$H52)))-Model!$G$7)))*OTCost_Nurse)+((MIN(OTCapPct*Model!$G$16,MAX(0,(($K52)/(Cap_Tech*$C52*(1-$I52)))-Model!$G$16)))*OTCost_Tech)+((MIN(OTCapPct*Model!$G$26,MAX(0,(($L52*(1+0.5*Acuity_N))/(Cap_Doc*$C52*(1-$G52)))-Model!$G$26)))*OTCost_Doc)+((MIN(OTCapPct*Model!$G$8,MAX(0,(($L52)/(Cap_Nurse*$C52*(1-$H52)))-Model!$G$8)))*OTCost_Nurse)+((MIN(OTCapPct*Model!$G$17,MAX(0,(($L52)/(Cap_Tech*$C52*(1-$I52)))-Model!$G$17)))*OTCost_Tech)</f>
        <v>52711.533002869197</v>
      </c>
    </row>
    <row r="53" spans="1:17" x14ac:dyDescent="0.25">
      <c r="A53" s="11">
        <v>49</v>
      </c>
      <c r="B53" s="11" t="str">
        <f t="shared" ca="1" si="0"/>
        <v>Complex</v>
      </c>
      <c r="C53" s="11">
        <f t="shared" ca="1" si="1"/>
        <v>0.9</v>
      </c>
      <c r="D53" s="11">
        <f t="shared" ca="1" si="2"/>
        <v>0</v>
      </c>
      <c r="E53" s="11">
        <f t="shared" ca="1" si="3"/>
        <v>3</v>
      </c>
      <c r="F53" s="36">
        <f t="shared" ca="1" si="4"/>
        <v>1.1835682489931862</v>
      </c>
      <c r="G53" s="11">
        <f t="shared" ca="1" si="5"/>
        <v>0</v>
      </c>
      <c r="H53" s="11">
        <f t="shared" ca="1" si="6"/>
        <v>8.3965477409690417E-2</v>
      </c>
      <c r="I53" s="11">
        <f t="shared" ca="1" si="7"/>
        <v>0</v>
      </c>
      <c r="J53" s="11">
        <f t="shared" ca="1" si="8"/>
        <v>65</v>
      </c>
      <c r="K53" s="11">
        <f t="shared" ca="1" si="9"/>
        <v>102</v>
      </c>
      <c r="L53" s="11">
        <f t="shared" ca="1" si="10"/>
        <v>56</v>
      </c>
      <c r="M53" s="11">
        <f ca="1">MAX(MAX(0,($J53*(1+0.5*Acuity_M))-(Model!$G$24*(1+OTCapPct)*(Cap_Doc*$C53*(1-$G53)))),MAX(0,($J53)-(Model!$G$6*(1+OTCapPct)*(Cap_Nurse*$C53*(1-$H53)))),MAX(0,($J53)-(Model!$G$15*(1+OTCapPct)*(Cap_Tech*$C53*(1-$I53)))),MAX(0,$J53-((BedsCurrent+BedsAdded)*ShiftHours*$F53/BedHr_M)),MAX(0,$J53*Acuity_M-(ImgBase+ImgExpOn*ImgExpAdd)),MAX(0,$J53-(LabBase+LabExpOn*LabExpAdd)))</f>
        <v>0</v>
      </c>
      <c r="N53" s="11">
        <f ca="1">MAX(MAX(0,($K53*(1+0.5*Acuity_E))-(Model!$G$25*(1+OTCapPct)*(Cap_Doc*$C53*(1-$G53)))),MAX(0,($K53)-(Model!$G$7*(1+OTCapPct)*(Cap_Nurse*$C53*(1-$H53)))),MAX(0,($K53)-(Model!$G$16*(1+OTCapPct)*(Cap_Tech*$C53*(1-$I53)))),MAX(0,$K53-((BedsCurrent+BedsAdded)*ShiftHours*$F53/BedHr_E)),MAX(0,$K53*Acuity_E-(ImgBase+ImgExpOn*ImgExpAdd)),MAX(0,$K53-(LabBase+LabExpOn*LabExpAdd)))</f>
        <v>7</v>
      </c>
      <c r="O53" s="11">
        <f ca="1">MAX(MAX(0,($L53*(1+0.5*Acuity_N))-(Model!$G$26*(1+OTCapPct)*(Cap_Doc*$C53*(1-$G53)))),MAX(0,($L53)-(Model!$G$8*(1+OTCapPct)*(Cap_Nurse*$C53*(1-$H53)))),MAX(0,($L53)-(Model!$G$17*(1+OTCapPct)*(Cap_Tech*$C53*(1-$I53)))),MAX(0,$L53-((BedsCurrent+BedsAdded)*ShiftHours*$F53/BedHr_N)),MAX(0,$L53*Acuity_N-(ImgBase+ImgExpOn*ImgExpAdd)),MAX(0,$L53-(LabBase+LabExpOn*LabExpAdd)))</f>
        <v>0</v>
      </c>
      <c r="P53" s="11">
        <f t="shared" ca="1" si="11"/>
        <v>7</v>
      </c>
      <c r="Q53" s="17">
        <f ca="1">((MIN(OTCapPct*Model!$G$24,MAX(0,(($J53*(1+0.5*Acuity_M))/(Cap_Doc*$C53*(1-$G53)))-Model!$G$24)))*OTCost_Doc)+((MIN(OTCapPct*Model!$G$6,MAX(0,(($J53)/(Cap_Nurse*$C53*(1-$H53)))-Model!$G$6)))*OTCost_Nurse)+((MIN(OTCapPct*Model!$G$15,MAX(0,(($J53)/(Cap_Tech*$C53*(1-$I53)))-Model!$G$15)))*OTCost_Tech)+((MIN(OTCapPct*Model!$G$25,MAX(0,(($K53*(1+0.5*Acuity_E))/(Cap_Doc*$C53*(1-$G53)))-Model!$G$25)))*OTCost_Doc)+((MIN(OTCapPct*Model!$G$7,MAX(0,(($K53)/(Cap_Nurse*$C53*(1-$H53)))-Model!$G$7)))*OTCost_Nurse)+((MIN(OTCapPct*Model!$G$16,MAX(0,(($K53)/(Cap_Tech*$C53*(1-$I53)))-Model!$G$16)))*OTCost_Tech)+((MIN(OTCapPct*Model!$G$26,MAX(0,(($L53*(1+0.5*Acuity_N))/(Cap_Doc*$C53*(1-$G53)))-Model!$G$26)))*OTCost_Doc)+((MIN(OTCapPct*Model!$G$8,MAX(0,(($L53)/(Cap_Nurse*$C53*(1-$H53)))-Model!$G$8)))*OTCost_Nurse)+((MIN(OTCapPct*Model!$G$17,MAX(0,(($L53)/(Cap_Tech*$C53*(1-$I53)))-Model!$G$17)))*OTCost_Tech)</f>
        <v>4415.9119279663619</v>
      </c>
    </row>
    <row r="54" spans="1:17" x14ac:dyDescent="0.25">
      <c r="A54" s="11">
        <v>50</v>
      </c>
      <c r="B54" s="11" t="str">
        <f t="shared" ca="1" si="0"/>
        <v>Normal</v>
      </c>
      <c r="C54" s="11">
        <f t="shared" ca="1" si="1"/>
        <v>1</v>
      </c>
      <c r="D54" s="11">
        <f t="shared" ca="1" si="2"/>
        <v>0</v>
      </c>
      <c r="E54" s="11">
        <f t="shared" ca="1" si="3"/>
        <v>1</v>
      </c>
      <c r="F54" s="36">
        <f t="shared" ca="1" si="4"/>
        <v>0.8765920265635726</v>
      </c>
      <c r="G54" s="11">
        <f t="shared" ca="1" si="5"/>
        <v>9.0874529427132603E-2</v>
      </c>
      <c r="H54" s="11">
        <f t="shared" ca="1" si="6"/>
        <v>3.2140492765795357E-2</v>
      </c>
      <c r="I54" s="11">
        <f t="shared" ca="1" si="7"/>
        <v>7.8931227129875603E-2</v>
      </c>
      <c r="J54" s="11">
        <f t="shared" ca="1" si="8"/>
        <v>77</v>
      </c>
      <c r="K54" s="11">
        <f t="shared" ca="1" si="9"/>
        <v>147</v>
      </c>
      <c r="L54" s="11">
        <f t="shared" ca="1" si="10"/>
        <v>66</v>
      </c>
      <c r="M54" s="11">
        <f ca="1">MAX(MAX(0,($J54*(1+0.5*Acuity_M))-(Model!$G$24*(1+OTCapPct)*(Cap_Doc*$C54*(1-$G54)))),MAX(0,($J54)-(Model!$G$6*(1+OTCapPct)*(Cap_Nurse*$C54*(1-$H54)))),MAX(0,($J54)-(Model!$G$15*(1+OTCapPct)*(Cap_Tech*$C54*(1-$I54)))),MAX(0,$J54-((BedsCurrent+BedsAdded)*ShiftHours*$F54/BedHr_M)),MAX(0,$J54*Acuity_M-(ImgBase+ImgExpOn*ImgExpAdd)),MAX(0,$J54-(LabBase+LabExpOn*LabExpAdd)))</f>
        <v>0</v>
      </c>
      <c r="N54" s="11">
        <f ca="1">MAX(MAX(0,($K54*(1+0.5*Acuity_E))-(Model!$G$25*(1+OTCapPct)*(Cap_Doc*$C54*(1-$G54)))),MAX(0,($K54)-(Model!$G$7*(1+OTCapPct)*(Cap_Nurse*$C54*(1-$H54)))),MAX(0,($K54)-(Model!$G$16*(1+OTCapPct)*(Cap_Tech*$C54*(1-$I54)))),MAX(0,$K54-((BedsCurrent+BedsAdded)*ShiftHours*$F54/BedHr_E)),MAX(0,$K54*Acuity_E-(ImgBase+ImgExpOn*ImgExpAdd)),MAX(0,$K54-(LabBase+LabExpOn*LabExpAdd)))</f>
        <v>52</v>
      </c>
      <c r="O54" s="11">
        <f ca="1">MAX(MAX(0,($L54*(1+0.5*Acuity_N))-(Model!$G$26*(1+OTCapPct)*(Cap_Doc*$C54*(1-$G54)))),MAX(0,($L54)-(Model!$G$8*(1+OTCapPct)*(Cap_Nurse*$C54*(1-$H54)))),MAX(0,($L54)-(Model!$G$17*(1+OTCapPct)*(Cap_Tech*$C54*(1-$I54)))),MAX(0,$L54-((BedsCurrent+BedsAdded)*ShiftHours*$F54/BedHr_N)),MAX(0,$L54*Acuity_N-(ImgBase+ImgExpOn*ImgExpAdd)),MAX(0,$L54-(LabBase+LabExpOn*LabExpAdd)))</f>
        <v>0</v>
      </c>
      <c r="P54" s="11">
        <f t="shared" ca="1" si="11"/>
        <v>52</v>
      </c>
      <c r="Q54" s="17">
        <f ca="1">((MIN(OTCapPct*Model!$G$24,MAX(0,(($J54*(1+0.5*Acuity_M))/(Cap_Doc*$C54*(1-$G54)))-Model!$G$24)))*OTCost_Doc)+((MIN(OTCapPct*Model!$G$6,MAX(0,(($J54)/(Cap_Nurse*$C54*(1-$H54)))-Model!$G$6)))*OTCost_Nurse)+((MIN(OTCapPct*Model!$G$15,MAX(0,(($J54)/(Cap_Tech*$C54*(1-$I54)))-Model!$G$15)))*OTCost_Tech)+((MIN(OTCapPct*Model!$G$25,MAX(0,(($K54*(1+0.5*Acuity_E))/(Cap_Doc*$C54*(1-$G54)))-Model!$G$25)))*OTCost_Doc)+((MIN(OTCapPct*Model!$G$7,MAX(0,(($K54)/(Cap_Nurse*$C54*(1-$H54)))-Model!$G$7)))*OTCost_Nurse)+((MIN(OTCapPct*Model!$G$16,MAX(0,(($K54)/(Cap_Tech*$C54*(1-$I54)))-Model!$G$16)))*OTCost_Tech)+((MIN(OTCapPct*Model!$G$26,MAX(0,(($L54*(1+0.5*Acuity_N))/(Cap_Doc*$C54*(1-$G54)))-Model!$G$26)))*OTCost_Doc)+((MIN(OTCapPct*Model!$G$8,MAX(0,(($L54)/(Cap_Nurse*$C54*(1-$H54)))-Model!$G$8)))*OTCost_Nurse)+((MIN(OTCapPct*Model!$G$17,MAX(0,(($L54)/(Cap_Tech*$C54*(1-$I54)))-Model!$G$17)))*OTCost_Tech)</f>
        <v>56500.188895804342</v>
      </c>
    </row>
    <row r="55" spans="1:17" x14ac:dyDescent="0.25">
      <c r="A55" s="11">
        <v>51</v>
      </c>
      <c r="B55" s="11" t="str">
        <f t="shared" ca="1" si="0"/>
        <v>Normal</v>
      </c>
      <c r="C55" s="11">
        <f t="shared" ca="1" si="1"/>
        <v>1</v>
      </c>
      <c r="D55" s="11">
        <f t="shared" ca="1" si="2"/>
        <v>0</v>
      </c>
      <c r="E55" s="11">
        <f t="shared" ca="1" si="3"/>
        <v>2</v>
      </c>
      <c r="F55" s="36">
        <f t="shared" ca="1" si="4"/>
        <v>1.1340164821852166</v>
      </c>
      <c r="G55" s="11">
        <f t="shared" ca="1" si="5"/>
        <v>8.7682595266246666E-2</v>
      </c>
      <c r="H55" s="11">
        <f t="shared" ca="1" si="6"/>
        <v>3.5923723059966481E-2</v>
      </c>
      <c r="I55" s="11">
        <f t="shared" ca="1" si="7"/>
        <v>0.11351157236856557</v>
      </c>
      <c r="J55" s="11">
        <f t="shared" ca="1" si="8"/>
        <v>96</v>
      </c>
      <c r="K55" s="11">
        <f t="shared" ca="1" si="9"/>
        <v>126</v>
      </c>
      <c r="L55" s="11">
        <f t="shared" ca="1" si="10"/>
        <v>50</v>
      </c>
      <c r="M55" s="11">
        <f ca="1">MAX(MAX(0,($J55*(1+0.5*Acuity_M))-(Model!$G$24*(1+OTCapPct)*(Cap_Doc*$C55*(1-$G55)))),MAX(0,($J55)-(Model!$G$6*(1+OTCapPct)*(Cap_Nurse*$C55*(1-$H55)))),MAX(0,($J55)-(Model!$G$15*(1+OTCapPct)*(Cap_Tech*$C55*(1-$I55)))),MAX(0,$J55-((BedsCurrent+BedsAdded)*ShiftHours*$F55/BedHr_M)),MAX(0,$J55*Acuity_M-(ImgBase+ImgExpOn*ImgExpAdd)),MAX(0,$J55-(LabBase+LabExpOn*LabExpAdd)))</f>
        <v>3.9242919674527599</v>
      </c>
      <c r="N55" s="11">
        <f ca="1">MAX(MAX(0,($K55*(1+0.5*Acuity_E))-(Model!$G$25*(1+OTCapPct)*(Cap_Doc*$C55*(1-$G55)))),MAX(0,($K55)-(Model!$G$7*(1+OTCapPct)*(Cap_Nurse*$C55*(1-$H55)))),MAX(0,($K55)-(Model!$G$16*(1+OTCapPct)*(Cap_Tech*$C55*(1-$I55)))),MAX(0,$K55-((BedsCurrent+BedsAdded)*ShiftHours*$F55/BedHr_E)),MAX(0,$K55*Acuity_E-(ImgBase+ImgExpOn*ImgExpAdd)),MAX(0,$K55-(LabBase+LabExpOn*LabExpAdd)))</f>
        <v>31</v>
      </c>
      <c r="O55" s="11">
        <f ca="1">MAX(MAX(0,($L55*(1+0.5*Acuity_N))-(Model!$G$26*(1+OTCapPct)*(Cap_Doc*$C55*(1-$G55)))),MAX(0,($L55)-(Model!$G$8*(1+OTCapPct)*(Cap_Nurse*$C55*(1-$H55)))),MAX(0,($L55)-(Model!$G$17*(1+OTCapPct)*(Cap_Tech*$C55*(1-$I55)))),MAX(0,$L55-((BedsCurrent+BedsAdded)*ShiftHours*$F55/BedHr_N)),MAX(0,$L55*Acuity_N-(ImgBase+ImgExpOn*ImgExpAdd)),MAX(0,$L55-(LabBase+LabExpOn*LabExpAdd)))</f>
        <v>0</v>
      </c>
      <c r="P55" s="11">
        <f t="shared" ca="1" si="11"/>
        <v>34.92429196745276</v>
      </c>
      <c r="Q55" s="17">
        <f ca="1">((MIN(OTCapPct*Model!$G$24,MAX(0,(($J55*(1+0.5*Acuity_M))/(Cap_Doc*$C55*(1-$G55)))-Model!$G$24)))*OTCost_Doc)+((MIN(OTCapPct*Model!$G$6,MAX(0,(($J55)/(Cap_Nurse*$C55*(1-$H55)))-Model!$G$6)))*OTCost_Nurse)+((MIN(OTCapPct*Model!$G$15,MAX(0,(($J55)/(Cap_Tech*$C55*(1-$I55)))-Model!$G$15)))*OTCost_Tech)+((MIN(OTCapPct*Model!$G$25,MAX(0,(($K55*(1+0.5*Acuity_E))/(Cap_Doc*$C55*(1-$G55)))-Model!$G$25)))*OTCost_Doc)+((MIN(OTCapPct*Model!$G$7,MAX(0,(($K55)/(Cap_Nurse*$C55*(1-$H55)))-Model!$G$7)))*OTCost_Nurse)+((MIN(OTCapPct*Model!$G$16,MAX(0,(($K55)/(Cap_Tech*$C55*(1-$I55)))-Model!$G$16)))*OTCost_Tech)+((MIN(OTCapPct*Model!$G$26,MAX(0,(($L55*(1+0.5*Acuity_N))/(Cap_Doc*$C55*(1-$G55)))-Model!$G$26)))*OTCost_Doc)+((MIN(OTCapPct*Model!$G$8,MAX(0,(($L55)/(Cap_Nurse*$C55*(1-$H55)))-Model!$G$8)))*OTCost_Nurse)+((MIN(OTCapPct*Model!$G$17,MAX(0,(($L55)/(Cap_Tech*$C55*(1-$I55)))-Model!$G$17)))*OTCost_Tech)</f>
        <v>61427.41108542218</v>
      </c>
    </row>
    <row r="56" spans="1:17" x14ac:dyDescent="0.25">
      <c r="A56" s="11">
        <v>52</v>
      </c>
      <c r="B56" s="11" t="str">
        <f t="shared" ca="1" si="0"/>
        <v>Normal</v>
      </c>
      <c r="C56" s="11">
        <f t="shared" ca="1" si="1"/>
        <v>1</v>
      </c>
      <c r="D56" s="11">
        <f t="shared" ca="1" si="2"/>
        <v>0</v>
      </c>
      <c r="E56" s="11">
        <f t="shared" ca="1" si="3"/>
        <v>3</v>
      </c>
      <c r="F56" s="36">
        <f t="shared" ca="1" si="4"/>
        <v>0.83746876674855641</v>
      </c>
      <c r="G56" s="11">
        <f t="shared" ca="1" si="5"/>
        <v>4.5699797312538037E-2</v>
      </c>
      <c r="H56" s="11">
        <f t="shared" ca="1" si="6"/>
        <v>4.6832397904491431E-2</v>
      </c>
      <c r="I56" s="11">
        <f t="shared" ca="1" si="7"/>
        <v>3.5684822965052737E-2</v>
      </c>
      <c r="J56" s="11">
        <f t="shared" ca="1" si="8"/>
        <v>70</v>
      </c>
      <c r="K56" s="11">
        <f t="shared" ca="1" si="9"/>
        <v>138</v>
      </c>
      <c r="L56" s="11">
        <f t="shared" ca="1" si="10"/>
        <v>84</v>
      </c>
      <c r="M56" s="11">
        <f ca="1">MAX(MAX(0,($J56*(1+0.5*Acuity_M))-(Model!$G$24*(1+OTCapPct)*(Cap_Doc*$C56*(1-$G56)))),MAX(0,($J56)-(Model!$G$6*(1+OTCapPct)*(Cap_Nurse*$C56*(1-$H56)))),MAX(0,($J56)-(Model!$G$15*(1+OTCapPct)*(Cap_Tech*$C56*(1-$I56)))),MAX(0,$J56-((BedsCurrent+BedsAdded)*ShiftHours*$F56/BedHr_M)),MAX(0,$J56*Acuity_M-(ImgBase+ImgExpOn*ImgExpAdd)),MAX(0,$J56-(LabBase+LabExpOn*LabExpAdd)))</f>
        <v>0</v>
      </c>
      <c r="N56" s="11">
        <f ca="1">MAX(MAX(0,($K56*(1+0.5*Acuity_E))-(Model!$G$25*(1+OTCapPct)*(Cap_Doc*$C56*(1-$G56)))),MAX(0,($K56)-(Model!$G$7*(1+OTCapPct)*(Cap_Nurse*$C56*(1-$H56)))),MAX(0,($K56)-(Model!$G$16*(1+OTCapPct)*(Cap_Tech*$C56*(1-$I56)))),MAX(0,$K56-((BedsCurrent+BedsAdded)*ShiftHours*$F56/BedHr_E)),MAX(0,$K56*Acuity_E-(ImgBase+ImgExpOn*ImgExpAdd)),MAX(0,$K56-(LabBase+LabExpOn*LabExpAdd)))</f>
        <v>46.883398177757073</v>
      </c>
      <c r="O56" s="11">
        <f ca="1">MAX(MAX(0,($L56*(1+0.5*Acuity_N))-(Model!$G$26*(1+OTCapPct)*(Cap_Doc*$C56*(1-$G56)))),MAX(0,($L56)-(Model!$G$8*(1+OTCapPct)*(Cap_Nurse*$C56*(1-$H56)))),MAX(0,($L56)-(Model!$G$17*(1+OTCapPct)*(Cap_Tech*$C56*(1-$I56)))),MAX(0,$L56-((BedsCurrent+BedsAdded)*ShiftHours*$F56/BedHr_N)),MAX(0,$L56*Acuity_N-(ImgBase+ImgExpOn*ImgExpAdd)),MAX(0,$L56-(LabBase+LabExpOn*LabExpAdd)))</f>
        <v>10.712981758128421</v>
      </c>
      <c r="P56" s="11">
        <f t="shared" ca="1" si="11"/>
        <v>57.596379935885494</v>
      </c>
      <c r="Q56" s="17">
        <f ca="1">((MIN(OTCapPct*Model!$G$24,MAX(0,(($J56*(1+0.5*Acuity_M))/(Cap_Doc*$C56*(1-$G56)))-Model!$G$24)))*OTCost_Doc)+((MIN(OTCapPct*Model!$G$6,MAX(0,(($J56)/(Cap_Nurse*$C56*(1-$H56)))-Model!$G$6)))*OTCost_Nurse)+((MIN(OTCapPct*Model!$G$15,MAX(0,(($J56)/(Cap_Tech*$C56*(1-$I56)))-Model!$G$15)))*OTCost_Tech)+((MIN(OTCapPct*Model!$G$25,MAX(0,(($K56*(1+0.5*Acuity_E))/(Cap_Doc*$C56*(1-$G56)))-Model!$G$25)))*OTCost_Doc)+((MIN(OTCapPct*Model!$G$7,MAX(0,(($K56)/(Cap_Nurse*$C56*(1-$H56)))-Model!$G$7)))*OTCost_Nurse)+((MIN(OTCapPct*Model!$G$16,MAX(0,(($K56)/(Cap_Tech*$C56*(1-$I56)))-Model!$G$16)))*OTCost_Tech)+((MIN(OTCapPct*Model!$G$26,MAX(0,(($L56*(1+0.5*Acuity_N))/(Cap_Doc*$C56*(1-$G56)))-Model!$G$26)))*OTCost_Doc)+((MIN(OTCapPct*Model!$G$8,MAX(0,(($L56)/(Cap_Nurse*$C56*(1-$H56)))-Model!$G$8)))*OTCost_Nurse)+((MIN(OTCapPct*Model!$G$17,MAX(0,(($L56)/(Cap_Tech*$C56*(1-$I56)))-Model!$G$17)))*OTCost_Tech)</f>
        <v>63134.418599043041</v>
      </c>
    </row>
    <row r="57" spans="1:17" x14ac:dyDescent="0.25">
      <c r="A57" s="11">
        <v>53</v>
      </c>
      <c r="B57" s="11" t="str">
        <f t="shared" ca="1" si="0"/>
        <v>Normal</v>
      </c>
      <c r="C57" s="11">
        <f t="shared" ca="1" si="1"/>
        <v>1</v>
      </c>
      <c r="D57" s="11">
        <f t="shared" ca="1" si="2"/>
        <v>0</v>
      </c>
      <c r="E57" s="11">
        <f t="shared" ca="1" si="3"/>
        <v>1</v>
      </c>
      <c r="F57" s="36">
        <f t="shared" ca="1" si="4"/>
        <v>0.92162349235756302</v>
      </c>
      <c r="G57" s="11">
        <f t="shared" ca="1" si="5"/>
        <v>4.2506442904567128E-2</v>
      </c>
      <c r="H57" s="11">
        <f t="shared" ca="1" si="6"/>
        <v>0.13564943780421851</v>
      </c>
      <c r="I57" s="11">
        <f t="shared" ca="1" si="7"/>
        <v>8.4139243587046733E-3</v>
      </c>
      <c r="J57" s="11">
        <f t="shared" ca="1" si="8"/>
        <v>68</v>
      </c>
      <c r="K57" s="11">
        <f t="shared" ca="1" si="9"/>
        <v>129</v>
      </c>
      <c r="L57" s="11">
        <f t="shared" ca="1" si="10"/>
        <v>80</v>
      </c>
      <c r="M57" s="11">
        <f ca="1">MAX(MAX(0,($J57*(1+0.5*Acuity_M))-(Model!$G$24*(1+OTCapPct)*(Cap_Doc*$C57*(1-$G57)))),MAX(0,($J57)-(Model!$G$6*(1+OTCapPct)*(Cap_Nurse*$C57*(1-$H57)))),MAX(0,($J57)-(Model!$G$15*(1+OTCapPct)*(Cap_Tech*$C57*(1-$I57)))),MAX(0,$J57-((BedsCurrent+BedsAdded)*ShiftHours*$F57/BedHr_M)),MAX(0,$J57*Acuity_M-(ImgBase+ImgExpOn*ImgExpAdd)),MAX(0,$J57-(LabBase+LabExpOn*LabExpAdd)))</f>
        <v>0</v>
      </c>
      <c r="N57" s="11">
        <f ca="1">MAX(MAX(0,($K57*(1+0.5*Acuity_E))-(Model!$G$25*(1+OTCapPct)*(Cap_Doc*$C57*(1-$G57)))),MAX(0,($K57)-(Model!$G$7*(1+OTCapPct)*(Cap_Nurse*$C57*(1-$H57)))),MAX(0,($K57)-(Model!$G$16*(1+OTCapPct)*(Cap_Tech*$C57*(1-$I57)))),MAX(0,$K57-((BedsCurrent+BedsAdded)*ShiftHours*$F57/BedHr_E)),MAX(0,$K57*Acuity_E-(ImgBase+ImgExpOn*ImgExpAdd)),MAX(0,$K57-(LabBase+LabExpOn*LabExpAdd)))</f>
        <v>34</v>
      </c>
      <c r="O57" s="11">
        <f ca="1">MAX(MAX(0,($L57*(1+0.5*Acuity_N))-(Model!$G$26*(1+OTCapPct)*(Cap_Doc*$C57*(1-$G57)))),MAX(0,($L57)-(Model!$G$8*(1+OTCapPct)*(Cap_Nurse*$C57*(1-$H57)))),MAX(0,($L57)-(Model!$G$17*(1+OTCapPct)*(Cap_Tech*$C57*(1-$I57)))),MAX(0,$L57-((BedsCurrent+BedsAdded)*ShiftHours*$F57/BedHr_N)),MAX(0,$L57*Acuity_N-(ImgBase+ImgExpOn*ImgExpAdd)),MAX(0,$L57-(LabBase+LabExpOn*LabExpAdd)))</f>
        <v>5.8255798614110574</v>
      </c>
      <c r="P57" s="11">
        <f t="shared" ca="1" si="11"/>
        <v>39.825579861411057</v>
      </c>
      <c r="Q57" s="17">
        <f ca="1">((MIN(OTCapPct*Model!$G$24,MAX(0,(($J57*(1+0.5*Acuity_M))/(Cap_Doc*$C57*(1-$G57)))-Model!$G$24)))*OTCost_Doc)+((MIN(OTCapPct*Model!$G$6,MAX(0,(($J57)/(Cap_Nurse*$C57*(1-$H57)))-Model!$G$6)))*OTCost_Nurse)+((MIN(OTCapPct*Model!$G$15,MAX(0,(($J57)/(Cap_Tech*$C57*(1-$I57)))-Model!$G$15)))*OTCost_Tech)+((MIN(OTCapPct*Model!$G$25,MAX(0,(($K57*(1+0.5*Acuity_E))/(Cap_Doc*$C57*(1-$G57)))-Model!$G$25)))*OTCost_Doc)+((MIN(OTCapPct*Model!$G$7,MAX(0,(($K57)/(Cap_Nurse*$C57*(1-$H57)))-Model!$G$7)))*OTCost_Nurse)+((MIN(OTCapPct*Model!$G$16,MAX(0,(($K57)/(Cap_Tech*$C57*(1-$I57)))-Model!$G$16)))*OTCost_Tech)+((MIN(OTCapPct*Model!$G$26,MAX(0,(($L57*(1+0.5*Acuity_N))/(Cap_Doc*$C57*(1-$G57)))-Model!$G$26)))*OTCost_Doc)+((MIN(OTCapPct*Model!$G$8,MAX(0,(($L57)/(Cap_Nurse*$C57*(1-$H57)))-Model!$G$8)))*OTCost_Nurse)+((MIN(OTCapPct*Model!$G$17,MAX(0,(($L57)/(Cap_Tech*$C57*(1-$I57)))-Model!$G$17)))*OTCost_Tech)</f>
        <v>61464.851876939603</v>
      </c>
    </row>
    <row r="58" spans="1:17" x14ac:dyDescent="0.25">
      <c r="A58" s="11">
        <v>54</v>
      </c>
      <c r="B58" s="11" t="str">
        <f t="shared" ca="1" si="0"/>
        <v>Normal</v>
      </c>
      <c r="C58" s="11">
        <f t="shared" ca="1" si="1"/>
        <v>1</v>
      </c>
      <c r="D58" s="11">
        <f t="shared" ca="1" si="2"/>
        <v>0</v>
      </c>
      <c r="E58" s="11">
        <f t="shared" ca="1" si="3"/>
        <v>2</v>
      </c>
      <c r="F58" s="36">
        <f t="shared" ca="1" si="4"/>
        <v>1.0035836497301083</v>
      </c>
      <c r="G58" s="11">
        <f t="shared" ca="1" si="5"/>
        <v>3.0034205822562103E-2</v>
      </c>
      <c r="H58" s="11">
        <f t="shared" ca="1" si="6"/>
        <v>1.8424609616124535E-3</v>
      </c>
      <c r="I58" s="11">
        <f t="shared" ca="1" si="7"/>
        <v>0.11282670529310564</v>
      </c>
      <c r="J58" s="11">
        <f t="shared" ca="1" si="8"/>
        <v>92</v>
      </c>
      <c r="K58" s="11">
        <f t="shared" ca="1" si="9"/>
        <v>111</v>
      </c>
      <c r="L58" s="11">
        <f t="shared" ca="1" si="10"/>
        <v>64</v>
      </c>
      <c r="M58" s="11">
        <f ca="1">MAX(MAX(0,($J58*(1+0.5*Acuity_M))-(Model!$G$24*(1+OTCapPct)*(Cap_Doc*$C58*(1-$G58)))),MAX(0,($J58)-(Model!$G$6*(1+OTCapPct)*(Cap_Nurse*$C58*(1-$H58)))),MAX(0,($J58)-(Model!$G$15*(1+OTCapPct)*(Cap_Tech*$C58*(1-$I58)))),MAX(0,$J58-((BedsCurrent+BedsAdded)*ShiftHours*$F58/BedHr_M)),MAX(0,$J58*Acuity_M-(ImgBase+ImgExpOn*ImgExpAdd)),MAX(0,$J58-(LabBase+LabExpOn*LabExpAdd)))</f>
        <v>0</v>
      </c>
      <c r="N58" s="11">
        <f ca="1">MAX(MAX(0,($K58*(1+0.5*Acuity_E))-(Model!$G$25*(1+OTCapPct)*(Cap_Doc*$C58*(1-$G58)))),MAX(0,($K58)-(Model!$G$7*(1+OTCapPct)*(Cap_Nurse*$C58*(1-$H58)))),MAX(0,($K58)-(Model!$G$16*(1+OTCapPct)*(Cap_Tech*$C58*(1-$I58)))),MAX(0,$K58-((BedsCurrent+BedsAdded)*ShiftHours*$F58/BedHr_E)),MAX(0,$K58*Acuity_E-(ImgBase+ImgExpOn*ImgExpAdd)),MAX(0,$K58-(LabBase+LabExpOn*LabExpAdd)))</f>
        <v>16</v>
      </c>
      <c r="O58" s="11">
        <f ca="1">MAX(MAX(0,($L58*(1+0.5*Acuity_N))-(Model!$G$26*(1+OTCapPct)*(Cap_Doc*$C58*(1-$G58)))),MAX(0,($L58)-(Model!$G$8*(1+OTCapPct)*(Cap_Nurse*$C58*(1-$H58)))),MAX(0,($L58)-(Model!$G$17*(1+OTCapPct)*(Cap_Tech*$C58*(1-$I58)))),MAX(0,$L58-((BedsCurrent+BedsAdded)*ShiftHours*$F58/BedHr_N)),MAX(0,$L58*Acuity_N-(ImgBase+ImgExpOn*ImgExpAdd)),MAX(0,$L58-(LabBase+LabExpOn*LabExpAdd)))</f>
        <v>0</v>
      </c>
      <c r="P58" s="11">
        <f t="shared" ca="1" si="11"/>
        <v>16</v>
      </c>
      <c r="Q58" s="17">
        <f ca="1">((MIN(OTCapPct*Model!$G$24,MAX(0,(($J58*(1+0.5*Acuity_M))/(Cap_Doc*$C58*(1-$G58)))-Model!$G$24)))*OTCost_Doc)+((MIN(OTCapPct*Model!$G$6,MAX(0,(($J58)/(Cap_Nurse*$C58*(1-$H58)))-Model!$G$6)))*OTCost_Nurse)+((MIN(OTCapPct*Model!$G$15,MAX(0,(($J58)/(Cap_Tech*$C58*(1-$I58)))-Model!$G$15)))*OTCost_Tech)+((MIN(OTCapPct*Model!$G$25,MAX(0,(($K58*(1+0.5*Acuity_E))/(Cap_Doc*$C58*(1-$G58)))-Model!$G$25)))*OTCost_Doc)+((MIN(OTCapPct*Model!$G$7,MAX(0,(($K58)/(Cap_Nurse*$C58*(1-$H58)))-Model!$G$7)))*OTCost_Nurse)+((MIN(OTCapPct*Model!$G$16,MAX(0,(($K58)/(Cap_Tech*$C58*(1-$I58)))-Model!$G$16)))*OTCost_Tech)+((MIN(OTCapPct*Model!$G$26,MAX(0,(($L58*(1+0.5*Acuity_N))/(Cap_Doc*$C58*(1-$G58)))-Model!$G$26)))*OTCost_Doc)+((MIN(OTCapPct*Model!$G$8,MAX(0,(($L58)/(Cap_Nurse*$C58*(1-$H58)))-Model!$G$8)))*OTCost_Nurse)+((MIN(OTCapPct*Model!$G$17,MAX(0,(($L58)/(Cap_Tech*$C58*(1-$I58)))-Model!$G$17)))*OTCost_Tech)</f>
        <v>25275.85033330103</v>
      </c>
    </row>
    <row r="59" spans="1:17" x14ac:dyDescent="0.25">
      <c r="A59" s="11">
        <v>55</v>
      </c>
      <c r="B59" s="11" t="str">
        <f t="shared" ca="1" si="0"/>
        <v>Complex</v>
      </c>
      <c r="C59" s="11">
        <f t="shared" ca="1" si="1"/>
        <v>0.9</v>
      </c>
      <c r="D59" s="11">
        <f t="shared" ca="1" si="2"/>
        <v>0</v>
      </c>
      <c r="E59" s="11">
        <f t="shared" ca="1" si="3"/>
        <v>1</v>
      </c>
      <c r="F59" s="36">
        <f t="shared" ca="1" si="4"/>
        <v>1.1351061640323781</v>
      </c>
      <c r="G59" s="11">
        <f t="shared" ca="1" si="5"/>
        <v>8.6354963267053497E-3</v>
      </c>
      <c r="H59" s="11">
        <f t="shared" ca="1" si="6"/>
        <v>0</v>
      </c>
      <c r="I59" s="11">
        <f t="shared" ca="1" si="7"/>
        <v>5.4025799130796963E-2</v>
      </c>
      <c r="J59" s="11">
        <f t="shared" ca="1" si="8"/>
        <v>109</v>
      </c>
      <c r="K59" s="11">
        <f t="shared" ca="1" si="9"/>
        <v>124</v>
      </c>
      <c r="L59" s="11">
        <f t="shared" ca="1" si="10"/>
        <v>60</v>
      </c>
      <c r="M59" s="11">
        <f ca="1">MAX(MAX(0,($J59*(1+0.5*Acuity_M))-(Model!$G$24*(1+OTCapPct)*(Cap_Doc*$C59*(1-$G59)))),MAX(0,($J59)-(Model!$G$6*(1+OTCapPct)*(Cap_Nurse*$C59*(1-$H59)))),MAX(0,($J59)-(Model!$G$15*(1+OTCapPct)*(Cap_Tech*$C59*(1-$I59)))),MAX(0,$J59-((BedsCurrent+BedsAdded)*ShiftHours*$F59/BedHr_M)),MAX(0,$J59*Acuity_M-(ImgBase+ImgExpOn*ImgExpAdd)),MAX(0,$J59-(LabBase+LabExpOn*LabExpAdd)))</f>
        <v>20.614344003078926</v>
      </c>
      <c r="N59" s="11">
        <f ca="1">MAX(MAX(0,($K59*(1+0.5*Acuity_E))-(Model!$G$25*(1+OTCapPct)*(Cap_Doc*$C59*(1-$G59)))),MAX(0,($K59)-(Model!$G$7*(1+OTCapPct)*(Cap_Nurse*$C59*(1-$H59)))),MAX(0,($K59)-(Model!$G$16*(1+OTCapPct)*(Cap_Tech*$C59*(1-$I59)))),MAX(0,$K59-((BedsCurrent+BedsAdded)*ShiftHours*$F59/BedHr_E)),MAX(0,$K59*Acuity_E-(ImgBase+ImgExpOn*ImgExpAdd)),MAX(0,$K59-(LabBase+LabExpOn*LabExpAdd)))</f>
        <v>29</v>
      </c>
      <c r="O59" s="11">
        <f ca="1">MAX(MAX(0,($L59*(1+0.5*Acuity_N))-(Model!$G$26*(1+OTCapPct)*(Cap_Doc*$C59*(1-$G59)))),MAX(0,($L59)-(Model!$G$8*(1+OTCapPct)*(Cap_Nurse*$C59*(1-$H59)))),MAX(0,($L59)-(Model!$G$17*(1+OTCapPct)*(Cap_Tech*$C59*(1-$I59)))),MAX(0,$L59-((BedsCurrent+BedsAdded)*ShiftHours*$F59/BedHr_N)),MAX(0,$L59*Acuity_N-(ImgBase+ImgExpOn*ImgExpAdd)),MAX(0,$L59-(LabBase+LabExpOn*LabExpAdd)))</f>
        <v>0</v>
      </c>
      <c r="P59" s="11">
        <f t="shared" ca="1" si="11"/>
        <v>49.614344003078926</v>
      </c>
      <c r="Q59" s="17">
        <f ca="1">((MIN(OTCapPct*Model!$G$24,MAX(0,(($J59*(1+0.5*Acuity_M))/(Cap_Doc*$C59*(1-$G59)))-Model!$G$24)))*OTCost_Doc)+((MIN(OTCapPct*Model!$G$6,MAX(0,(($J59)/(Cap_Nurse*$C59*(1-$H59)))-Model!$G$6)))*OTCost_Nurse)+((MIN(OTCapPct*Model!$G$15,MAX(0,(($J59)/(Cap_Tech*$C59*(1-$I59)))-Model!$G$15)))*OTCost_Tech)+((MIN(OTCapPct*Model!$G$25,MAX(0,(($K59*(1+0.5*Acuity_E))/(Cap_Doc*$C59*(1-$G59)))-Model!$G$25)))*OTCost_Doc)+((MIN(OTCapPct*Model!$G$7,MAX(0,(($K59)/(Cap_Nurse*$C59*(1-$H59)))-Model!$G$7)))*OTCost_Nurse)+((MIN(OTCapPct*Model!$G$16,MAX(0,(($K59)/(Cap_Tech*$C59*(1-$I59)))-Model!$G$16)))*OTCost_Tech)+((MIN(OTCapPct*Model!$G$26,MAX(0,(($L59*(1+0.5*Acuity_N))/(Cap_Doc*$C59*(1-$G59)))-Model!$G$26)))*OTCost_Doc)+((MIN(OTCapPct*Model!$G$8,MAX(0,(($L59)/(Cap_Nurse*$C59*(1-$H59)))-Model!$G$8)))*OTCost_Nurse)+((MIN(OTCapPct*Model!$G$17,MAX(0,(($L59)/(Cap_Tech*$C59*(1-$I59)))-Model!$G$17)))*OTCost_Tech)</f>
        <v>73529.90310819076</v>
      </c>
    </row>
    <row r="60" spans="1:17" x14ac:dyDescent="0.25">
      <c r="A60" s="11">
        <v>56</v>
      </c>
      <c r="B60" s="11" t="str">
        <f t="shared" ca="1" si="0"/>
        <v>Normal</v>
      </c>
      <c r="C60" s="11">
        <f t="shared" ca="1" si="1"/>
        <v>1</v>
      </c>
      <c r="D60" s="11">
        <f t="shared" ca="1" si="2"/>
        <v>0</v>
      </c>
      <c r="E60" s="11">
        <f t="shared" ca="1" si="3"/>
        <v>2</v>
      </c>
      <c r="F60" s="36">
        <f t="shared" ca="1" si="4"/>
        <v>1.0181268164934811</v>
      </c>
      <c r="G60" s="11">
        <f t="shared" ca="1" si="5"/>
        <v>0</v>
      </c>
      <c r="H60" s="11">
        <f t="shared" ca="1" si="6"/>
        <v>2.8558669894483121E-2</v>
      </c>
      <c r="I60" s="11">
        <f t="shared" ca="1" si="7"/>
        <v>0.18828902559475158</v>
      </c>
      <c r="J60" s="11">
        <f t="shared" ca="1" si="8"/>
        <v>71</v>
      </c>
      <c r="K60" s="11">
        <f t="shared" ca="1" si="9"/>
        <v>146</v>
      </c>
      <c r="L60" s="11">
        <f t="shared" ca="1" si="10"/>
        <v>56</v>
      </c>
      <c r="M60" s="11">
        <f ca="1">MAX(MAX(0,($J60*(1+0.5*Acuity_M))-(Model!$G$24*(1+OTCapPct)*(Cap_Doc*$C60*(1-$G60)))),MAX(0,($J60)-(Model!$G$6*(1+OTCapPct)*(Cap_Nurse*$C60*(1-$H60)))),MAX(0,($J60)-(Model!$G$15*(1+OTCapPct)*(Cap_Tech*$C60*(1-$I60)))),MAX(0,$J60-((BedsCurrent+BedsAdded)*ShiftHours*$F60/BedHr_M)),MAX(0,$J60*Acuity_M-(ImgBase+ImgExpOn*ImgExpAdd)),MAX(0,$J60-(LabBase+LabExpOn*LabExpAdd)))</f>
        <v>0</v>
      </c>
      <c r="N60" s="11">
        <f ca="1">MAX(MAX(0,($K60*(1+0.5*Acuity_E))-(Model!$G$25*(1+OTCapPct)*(Cap_Doc*$C60*(1-$G60)))),MAX(0,($K60)-(Model!$G$7*(1+OTCapPct)*(Cap_Nurse*$C60*(1-$H60)))),MAX(0,($K60)-(Model!$G$16*(1+OTCapPct)*(Cap_Tech*$C60*(1-$I60)))),MAX(0,$K60-((BedsCurrent+BedsAdded)*ShiftHours*$F60/BedHr_E)),MAX(0,$K60*Acuity_E-(ImgBase+ImgExpOn*ImgExpAdd)),MAX(0,$K60-(LabBase+LabExpOn*LabExpAdd)))</f>
        <v>51</v>
      </c>
      <c r="O60" s="11">
        <f ca="1">MAX(MAX(0,($L60*(1+0.5*Acuity_N))-(Model!$G$26*(1+OTCapPct)*(Cap_Doc*$C60*(1-$G60)))),MAX(0,($L60)-(Model!$G$8*(1+OTCapPct)*(Cap_Nurse*$C60*(1-$H60)))),MAX(0,($L60)-(Model!$G$17*(1+OTCapPct)*(Cap_Tech*$C60*(1-$I60)))),MAX(0,$L60-((BedsCurrent+BedsAdded)*ShiftHours*$F60/BedHr_N)),MAX(0,$L60*Acuity_N-(ImgBase+ImgExpOn*ImgExpAdd)),MAX(0,$L60-(LabBase+LabExpOn*LabExpAdd)))</f>
        <v>0</v>
      </c>
      <c r="P60" s="11">
        <f t="shared" ca="1" si="11"/>
        <v>51</v>
      </c>
      <c r="Q60" s="17">
        <f ca="1">((MIN(OTCapPct*Model!$G$24,MAX(0,(($J60*(1+0.5*Acuity_M))/(Cap_Doc*$C60*(1-$G60)))-Model!$G$24)))*OTCost_Doc)+((MIN(OTCapPct*Model!$G$6,MAX(0,(($J60)/(Cap_Nurse*$C60*(1-$H60)))-Model!$G$6)))*OTCost_Nurse)+((MIN(OTCapPct*Model!$G$15,MAX(0,(($J60)/(Cap_Tech*$C60*(1-$I60)))-Model!$G$15)))*OTCost_Tech)+((MIN(OTCapPct*Model!$G$25,MAX(0,(($K60*(1+0.5*Acuity_E))/(Cap_Doc*$C60*(1-$G60)))-Model!$G$25)))*OTCost_Doc)+((MIN(OTCapPct*Model!$G$7,MAX(0,(($K60)/(Cap_Nurse*$C60*(1-$H60)))-Model!$G$7)))*OTCost_Nurse)+((MIN(OTCapPct*Model!$G$16,MAX(0,(($K60)/(Cap_Tech*$C60*(1-$I60)))-Model!$G$16)))*OTCost_Tech)+((MIN(OTCapPct*Model!$G$26,MAX(0,(($L60*(1+0.5*Acuity_N))/(Cap_Doc*$C60*(1-$G60)))-Model!$G$26)))*OTCost_Doc)+((MIN(OTCapPct*Model!$G$8,MAX(0,(($L60)/(Cap_Nurse*$C60*(1-$H60)))-Model!$G$8)))*OTCost_Nurse)+((MIN(OTCapPct*Model!$G$17,MAX(0,(($L60)/(Cap_Tech*$C60*(1-$I60)))-Model!$G$17)))*OTCost_Tech)</f>
        <v>44875</v>
      </c>
    </row>
    <row r="61" spans="1:17" x14ac:dyDescent="0.25">
      <c r="A61" s="11">
        <v>57</v>
      </c>
      <c r="B61" s="11" t="str">
        <f t="shared" ca="1" si="0"/>
        <v>Normal</v>
      </c>
      <c r="C61" s="11">
        <f t="shared" ca="1" si="1"/>
        <v>1</v>
      </c>
      <c r="D61" s="11">
        <f t="shared" ca="1" si="2"/>
        <v>0</v>
      </c>
      <c r="E61" s="11">
        <f t="shared" ca="1" si="3"/>
        <v>1</v>
      </c>
      <c r="F61" s="36">
        <f t="shared" ca="1" si="4"/>
        <v>0.91677859568491682</v>
      </c>
      <c r="G61" s="11">
        <f t="shared" ca="1" si="5"/>
        <v>6.9911987929463154E-2</v>
      </c>
      <c r="H61" s="11">
        <f t="shared" ca="1" si="6"/>
        <v>2.3305870047522902E-2</v>
      </c>
      <c r="I61" s="11">
        <f t="shared" ca="1" si="7"/>
        <v>5.7448923512834253E-2</v>
      </c>
      <c r="J61" s="11">
        <f t="shared" ca="1" si="8"/>
        <v>89</v>
      </c>
      <c r="K61" s="11">
        <f t="shared" ca="1" si="9"/>
        <v>134</v>
      </c>
      <c r="L61" s="11">
        <f t="shared" ca="1" si="10"/>
        <v>81</v>
      </c>
      <c r="M61" s="11">
        <f ca="1">MAX(MAX(0,($J61*(1+0.5*Acuity_M))-(Model!$G$24*(1+OTCapPct)*(Cap_Doc*$C61*(1-$G61)))),MAX(0,($J61)-(Model!$G$6*(1+OTCapPct)*(Cap_Nurse*$C61*(1-$H61)))),MAX(0,($J61)-(Model!$G$15*(1+OTCapPct)*(Cap_Tech*$C61*(1-$I61)))),MAX(0,$J61-((BedsCurrent+BedsAdded)*ShiftHours*$F61/BedHr_M)),MAX(0,$J61*Acuity_M-(ImgBase+ImgExpOn*ImgExpAdd)),MAX(0,$J61-(LabBase+LabExpOn*LabExpAdd)))</f>
        <v>0</v>
      </c>
      <c r="N61" s="11">
        <f ca="1">MAX(MAX(0,($K61*(1+0.5*Acuity_E))-(Model!$G$25*(1+OTCapPct)*(Cap_Doc*$C61*(1-$G61)))),MAX(0,($K61)-(Model!$G$7*(1+OTCapPct)*(Cap_Nurse*$C61*(1-$H61)))),MAX(0,($K61)-(Model!$G$16*(1+OTCapPct)*(Cap_Tech*$C61*(1-$I61)))),MAX(0,$K61-((BedsCurrent+BedsAdded)*ShiftHours*$F61/BedHr_E)),MAX(0,$K61*Acuity_E-(ImgBase+ImgExpOn*ImgExpAdd)),MAX(0,$K61-(LabBase+LabExpOn*LabExpAdd)))</f>
        <v>39</v>
      </c>
      <c r="O61" s="11">
        <f ca="1">MAX(MAX(0,($L61*(1+0.5*Acuity_N))-(Model!$G$26*(1+OTCapPct)*(Cap_Doc*$C61*(1-$G61)))),MAX(0,($L61)-(Model!$G$8*(1+OTCapPct)*(Cap_Nurse*$C61*(1-$H61)))),MAX(0,($L61)-(Model!$G$17*(1+OTCapPct)*(Cap_Tech*$C61*(1-$I61)))),MAX(0,$L61-((BedsCurrent+BedsAdded)*ShiftHours*$F61/BedHr_N)),MAX(0,$L61*Acuity_N-(ImgBase+ImgExpOn*ImgExpAdd)),MAX(0,$L61-(LabBase+LabExpOn*LabExpAdd)))</f>
        <v>9.4420789136516845</v>
      </c>
      <c r="P61" s="11">
        <f t="shared" ca="1" si="11"/>
        <v>48.442078913651685</v>
      </c>
      <c r="Q61" s="17">
        <f ca="1">((MIN(OTCapPct*Model!$G$24,MAX(0,(($J61*(1+0.5*Acuity_M))/(Cap_Doc*$C61*(1-$G61)))-Model!$G$24)))*OTCost_Doc)+((MIN(OTCapPct*Model!$G$6,MAX(0,(($J61)/(Cap_Nurse*$C61*(1-$H61)))-Model!$G$6)))*OTCost_Nurse)+((MIN(OTCapPct*Model!$G$15,MAX(0,(($J61)/(Cap_Tech*$C61*(1-$I61)))-Model!$G$15)))*OTCost_Tech)+((MIN(OTCapPct*Model!$G$25,MAX(0,(($K61*(1+0.5*Acuity_E))/(Cap_Doc*$C61*(1-$G61)))-Model!$G$25)))*OTCost_Doc)+((MIN(OTCapPct*Model!$G$7,MAX(0,(($K61)/(Cap_Nurse*$C61*(1-$H61)))-Model!$G$7)))*OTCost_Nurse)+((MIN(OTCapPct*Model!$G$16,MAX(0,(($K61)/(Cap_Tech*$C61*(1-$I61)))-Model!$G$16)))*OTCost_Tech)+((MIN(OTCapPct*Model!$G$26,MAX(0,(($L61*(1+0.5*Acuity_N))/(Cap_Doc*$C61*(1-$G61)))-Model!$G$26)))*OTCost_Doc)+((MIN(OTCapPct*Model!$G$8,MAX(0,(($L61)/(Cap_Nurse*$C61*(1-$H61)))-Model!$G$8)))*OTCost_Nurse)+((MIN(OTCapPct*Model!$G$17,MAX(0,(($L61)/(Cap_Tech*$C61*(1-$I61)))-Model!$G$17)))*OTCost_Tech)</f>
        <v>72814.749857484916</v>
      </c>
    </row>
    <row r="62" spans="1:17" x14ac:dyDescent="0.25">
      <c r="A62" s="11">
        <v>58</v>
      </c>
      <c r="B62" s="11" t="str">
        <f t="shared" ca="1" si="0"/>
        <v>Normal</v>
      </c>
      <c r="C62" s="11">
        <f t="shared" ca="1" si="1"/>
        <v>1</v>
      </c>
      <c r="D62" s="11">
        <f t="shared" ca="1" si="2"/>
        <v>0</v>
      </c>
      <c r="E62" s="11">
        <f t="shared" ca="1" si="3"/>
        <v>2</v>
      </c>
      <c r="F62" s="36">
        <f t="shared" ca="1" si="4"/>
        <v>0.91520414123279825</v>
      </c>
      <c r="G62" s="11">
        <f t="shared" ca="1" si="5"/>
        <v>0</v>
      </c>
      <c r="H62" s="11">
        <f t="shared" ca="1" si="6"/>
        <v>2.4433475554925851E-2</v>
      </c>
      <c r="I62" s="11">
        <f t="shared" ca="1" si="7"/>
        <v>6.5728859926561412E-2</v>
      </c>
      <c r="J62" s="11">
        <f t="shared" ca="1" si="8"/>
        <v>78</v>
      </c>
      <c r="K62" s="11">
        <f t="shared" ca="1" si="9"/>
        <v>109</v>
      </c>
      <c r="L62" s="11">
        <f t="shared" ca="1" si="10"/>
        <v>62</v>
      </c>
      <c r="M62" s="11">
        <f ca="1">MAX(MAX(0,($J62*(1+0.5*Acuity_M))-(Model!$G$24*(1+OTCapPct)*(Cap_Doc*$C62*(1-$G62)))),MAX(0,($J62)-(Model!$G$6*(1+OTCapPct)*(Cap_Nurse*$C62*(1-$H62)))),MAX(0,($J62)-(Model!$G$15*(1+OTCapPct)*(Cap_Tech*$C62*(1-$I62)))),MAX(0,$J62-((BedsCurrent+BedsAdded)*ShiftHours*$F62/BedHr_M)),MAX(0,$J62*Acuity_M-(ImgBase+ImgExpOn*ImgExpAdd)),MAX(0,$J62-(LabBase+LabExpOn*LabExpAdd)))</f>
        <v>0</v>
      </c>
      <c r="N62" s="11">
        <f ca="1">MAX(MAX(0,($K62*(1+0.5*Acuity_E))-(Model!$G$25*(1+OTCapPct)*(Cap_Doc*$C62*(1-$G62)))),MAX(0,($K62)-(Model!$G$7*(1+OTCapPct)*(Cap_Nurse*$C62*(1-$H62)))),MAX(0,($K62)-(Model!$G$16*(1+OTCapPct)*(Cap_Tech*$C62*(1-$I62)))),MAX(0,$K62-((BedsCurrent+BedsAdded)*ShiftHours*$F62/BedHr_E)),MAX(0,$K62*Acuity_E-(ImgBase+ImgExpOn*ImgExpAdd)),MAX(0,$K62-(LabBase+LabExpOn*LabExpAdd)))</f>
        <v>14</v>
      </c>
      <c r="O62" s="11">
        <f ca="1">MAX(MAX(0,($L62*(1+0.5*Acuity_N))-(Model!$G$26*(1+OTCapPct)*(Cap_Doc*$C62*(1-$G62)))),MAX(0,($L62)-(Model!$G$8*(1+OTCapPct)*(Cap_Nurse*$C62*(1-$H62)))),MAX(0,($L62)-(Model!$G$17*(1+OTCapPct)*(Cap_Tech*$C62*(1-$I62)))),MAX(0,$L62-((BedsCurrent+BedsAdded)*ShiftHours*$F62/BedHr_N)),MAX(0,$L62*Acuity_N-(ImgBase+ImgExpOn*ImgExpAdd)),MAX(0,$L62-(LabBase+LabExpOn*LabExpAdd)))</f>
        <v>0</v>
      </c>
      <c r="P62" s="11">
        <f t="shared" ca="1" si="11"/>
        <v>14</v>
      </c>
      <c r="Q62" s="17">
        <f ca="1">((MIN(OTCapPct*Model!$G$24,MAX(0,(($J62*(1+0.5*Acuity_M))/(Cap_Doc*$C62*(1-$G62)))-Model!$G$24)))*OTCost_Doc)+((MIN(OTCapPct*Model!$G$6,MAX(0,(($J62)/(Cap_Nurse*$C62*(1-$H62)))-Model!$G$6)))*OTCost_Nurse)+((MIN(OTCapPct*Model!$G$15,MAX(0,(($J62)/(Cap_Tech*$C62*(1-$I62)))-Model!$G$15)))*OTCost_Tech)+((MIN(OTCapPct*Model!$G$25,MAX(0,(($K62*(1+0.5*Acuity_E))/(Cap_Doc*$C62*(1-$G62)))-Model!$G$25)))*OTCost_Doc)+((MIN(OTCapPct*Model!$G$7,MAX(0,(($K62)/(Cap_Nurse*$C62*(1-$H62)))-Model!$G$7)))*OTCost_Nurse)+((MIN(OTCapPct*Model!$G$16,MAX(0,(($K62)/(Cap_Tech*$C62*(1-$I62)))-Model!$G$16)))*OTCost_Tech)+((MIN(OTCapPct*Model!$G$26,MAX(0,(($L62*(1+0.5*Acuity_N))/(Cap_Doc*$C62*(1-$G62)))-Model!$G$26)))*OTCost_Doc)+((MIN(OTCapPct*Model!$G$8,MAX(0,(($L62)/(Cap_Nurse*$C62*(1-$H62)))-Model!$G$8)))*OTCost_Nurse)+((MIN(OTCapPct*Model!$G$17,MAX(0,(($L62)/(Cap_Tech*$C62*(1-$I62)))-Model!$G$17)))*OTCost_Tech)</f>
        <v>0</v>
      </c>
    </row>
    <row r="63" spans="1:17" x14ac:dyDescent="0.25">
      <c r="A63" s="11">
        <v>59</v>
      </c>
      <c r="B63" s="11" t="str">
        <f t="shared" ca="1" si="0"/>
        <v>Normal</v>
      </c>
      <c r="C63" s="11">
        <f t="shared" ca="1" si="1"/>
        <v>1</v>
      </c>
      <c r="D63" s="11">
        <f t="shared" ca="1" si="2"/>
        <v>0</v>
      </c>
      <c r="E63" s="11">
        <f t="shared" ca="1" si="3"/>
        <v>3</v>
      </c>
      <c r="F63" s="36">
        <f t="shared" ca="1" si="4"/>
        <v>1.0369620589823791</v>
      </c>
      <c r="G63" s="11">
        <f t="shared" ca="1" si="5"/>
        <v>8.3569214449062151E-2</v>
      </c>
      <c r="H63" s="11">
        <f t="shared" ca="1" si="6"/>
        <v>6.5134251960638906E-2</v>
      </c>
      <c r="I63" s="11">
        <f t="shared" ca="1" si="7"/>
        <v>9.5755806158895757E-3</v>
      </c>
      <c r="J63" s="11">
        <f t="shared" ca="1" si="8"/>
        <v>110</v>
      </c>
      <c r="K63" s="11">
        <f t="shared" ca="1" si="9"/>
        <v>127</v>
      </c>
      <c r="L63" s="11">
        <f t="shared" ca="1" si="10"/>
        <v>54</v>
      </c>
      <c r="M63" s="11">
        <f ca="1">MAX(MAX(0,($J63*(1+0.5*Acuity_M))-(Model!$G$24*(1+OTCapPct)*(Cap_Doc*$C63*(1-$G63)))),MAX(0,($J63)-(Model!$G$6*(1+OTCapPct)*(Cap_Nurse*$C63*(1-$H63)))),MAX(0,($J63)-(Model!$G$15*(1+OTCapPct)*(Cap_Tech*$C63*(1-$I63)))),MAX(0,$J63-((BedsCurrent+BedsAdded)*ShiftHours*$F63/BedHr_M)),MAX(0,$J63*Acuity_M-(ImgBase+ImgExpOn*ImgExpAdd)),MAX(0,$J63-(LabBase+LabExpOn*LabExpAdd)))</f>
        <v>19.001536625519506</v>
      </c>
      <c r="N63" s="11">
        <f ca="1">MAX(MAX(0,($K63*(1+0.5*Acuity_E))-(Model!$G$25*(1+OTCapPct)*(Cap_Doc*$C63*(1-$G63)))),MAX(0,($K63)-(Model!$G$7*(1+OTCapPct)*(Cap_Nurse*$C63*(1-$H63)))),MAX(0,($K63)-(Model!$G$16*(1+OTCapPct)*(Cap_Tech*$C63*(1-$I63)))),MAX(0,$K63-((BedsCurrent+BedsAdded)*ShiftHours*$F63/BedHr_E)),MAX(0,$K63*Acuity_E-(ImgBase+ImgExpOn*ImgExpAdd)),MAX(0,$K63-(LabBase+LabExpOn*LabExpAdd)))</f>
        <v>32</v>
      </c>
      <c r="O63" s="11">
        <f ca="1">MAX(MAX(0,($L63*(1+0.5*Acuity_N))-(Model!$G$26*(1+OTCapPct)*(Cap_Doc*$C63*(1-$G63)))),MAX(0,($L63)-(Model!$G$8*(1+OTCapPct)*(Cap_Nurse*$C63*(1-$H63)))),MAX(0,($L63)-(Model!$G$17*(1+OTCapPct)*(Cap_Tech*$C63*(1-$I63)))),MAX(0,$L63-((BedsCurrent+BedsAdded)*ShiftHours*$F63/BedHr_N)),MAX(0,$L63*Acuity_N-(ImgBase+ImgExpOn*ImgExpAdd)),MAX(0,$L63-(LabBase+LabExpOn*LabExpAdd)))</f>
        <v>0</v>
      </c>
      <c r="P63" s="11">
        <f t="shared" ca="1" si="11"/>
        <v>51.001536625519506</v>
      </c>
      <c r="Q63" s="17">
        <f ca="1">((MIN(OTCapPct*Model!$G$24,MAX(0,(($J63*(1+0.5*Acuity_M))/(Cap_Doc*$C63*(1-$G63)))-Model!$G$24)))*OTCost_Doc)+((MIN(OTCapPct*Model!$G$6,MAX(0,(($J63)/(Cap_Nurse*$C63*(1-$H63)))-Model!$G$6)))*OTCost_Nurse)+((MIN(OTCapPct*Model!$G$15,MAX(0,(($J63)/(Cap_Tech*$C63*(1-$I63)))-Model!$G$15)))*OTCost_Tech)+((MIN(OTCapPct*Model!$G$25,MAX(0,(($K63*(1+0.5*Acuity_E))/(Cap_Doc*$C63*(1-$G63)))-Model!$G$25)))*OTCost_Doc)+((MIN(OTCapPct*Model!$G$7,MAX(0,(($K63)/(Cap_Nurse*$C63*(1-$H63)))-Model!$G$7)))*OTCost_Nurse)+((MIN(OTCapPct*Model!$G$16,MAX(0,(($K63)/(Cap_Tech*$C63*(1-$I63)))-Model!$G$16)))*OTCost_Tech)+((MIN(OTCapPct*Model!$G$26,MAX(0,(($L63*(1+0.5*Acuity_N))/(Cap_Doc*$C63*(1-$G63)))-Model!$G$26)))*OTCost_Doc)+((MIN(OTCapPct*Model!$G$8,MAX(0,(($L63)/(Cap_Nurse*$C63*(1-$H63)))-Model!$G$8)))*OTCost_Nurse)+((MIN(OTCapPct*Model!$G$17,MAX(0,(($L63)/(Cap_Tech*$C63*(1-$I63)))-Model!$G$17)))*OTCost_Tech)</f>
        <v>65341.432954296113</v>
      </c>
    </row>
    <row r="64" spans="1:17" x14ac:dyDescent="0.25">
      <c r="A64" s="11">
        <v>60</v>
      </c>
      <c r="B64" s="11" t="str">
        <f t="shared" ca="1" si="0"/>
        <v>Normal</v>
      </c>
      <c r="C64" s="11">
        <f t="shared" ca="1" si="1"/>
        <v>1</v>
      </c>
      <c r="D64" s="11">
        <f t="shared" ca="1" si="2"/>
        <v>0</v>
      </c>
      <c r="E64" s="11">
        <f t="shared" ca="1" si="3"/>
        <v>1</v>
      </c>
      <c r="F64" s="36">
        <f t="shared" ca="1" si="4"/>
        <v>0.89035883203748833</v>
      </c>
      <c r="G64" s="11">
        <f t="shared" ca="1" si="5"/>
        <v>0</v>
      </c>
      <c r="H64" s="11">
        <f t="shared" ca="1" si="6"/>
        <v>2.2098385090710035E-2</v>
      </c>
      <c r="I64" s="11">
        <f t="shared" ca="1" si="7"/>
        <v>0</v>
      </c>
      <c r="J64" s="11">
        <f t="shared" ca="1" si="8"/>
        <v>91</v>
      </c>
      <c r="K64" s="11">
        <f t="shared" ca="1" si="9"/>
        <v>118</v>
      </c>
      <c r="L64" s="11">
        <f t="shared" ca="1" si="10"/>
        <v>71</v>
      </c>
      <c r="M64" s="11">
        <f ca="1">MAX(MAX(0,($J64*(1+0.5*Acuity_M))-(Model!$G$24*(1+OTCapPct)*(Cap_Doc*$C64*(1-$G64)))),MAX(0,($J64)-(Model!$G$6*(1+OTCapPct)*(Cap_Nurse*$C64*(1-$H64)))),MAX(0,($J64)-(Model!$G$15*(1+OTCapPct)*(Cap_Tech*$C64*(1-$I64)))),MAX(0,$J64-((BedsCurrent+BedsAdded)*ShiftHours*$F64/BedHr_M)),MAX(0,$J64*Acuity_M-(ImgBase+ImgExpOn*ImgExpAdd)),MAX(0,$J64-(LabBase+LabExpOn*LabExpAdd)))</f>
        <v>0</v>
      </c>
      <c r="N64" s="11">
        <f ca="1">MAX(MAX(0,($K64*(1+0.5*Acuity_E))-(Model!$G$25*(1+OTCapPct)*(Cap_Doc*$C64*(1-$G64)))),MAX(0,($K64)-(Model!$G$7*(1+OTCapPct)*(Cap_Nurse*$C64*(1-$H64)))),MAX(0,($K64)-(Model!$G$16*(1+OTCapPct)*(Cap_Tech*$C64*(1-$I64)))),MAX(0,$K64-((BedsCurrent+BedsAdded)*ShiftHours*$F64/BedHr_E)),MAX(0,$K64*Acuity_E-(ImgBase+ImgExpOn*ImgExpAdd)),MAX(0,$K64-(LabBase+LabExpOn*LabExpAdd)))</f>
        <v>23</v>
      </c>
      <c r="O64" s="11">
        <f ca="1">MAX(MAX(0,($L64*(1+0.5*Acuity_N))-(Model!$G$26*(1+OTCapPct)*(Cap_Doc*$C64*(1-$G64)))),MAX(0,($L64)-(Model!$G$8*(1+OTCapPct)*(Cap_Nurse*$C64*(1-$H64)))),MAX(0,($L64)-(Model!$G$17*(1+OTCapPct)*(Cap_Tech*$C64*(1-$I64)))),MAX(0,$L64-((BedsCurrent+BedsAdded)*ShiftHours*$F64/BedHr_N)),MAX(0,$L64*Acuity_N-(ImgBase+ImgExpOn*ImgExpAdd)),MAX(0,$L64-(LabBase+LabExpOn*LabExpAdd)))</f>
        <v>0</v>
      </c>
      <c r="P64" s="11">
        <f t="shared" ca="1" si="11"/>
        <v>23</v>
      </c>
      <c r="Q64" s="17">
        <f ca="1">((MIN(OTCapPct*Model!$G$24,MAX(0,(($J64*(1+0.5*Acuity_M))/(Cap_Doc*$C64*(1-$G64)))-Model!$G$24)))*OTCost_Doc)+((MIN(OTCapPct*Model!$G$6,MAX(0,(($J64)/(Cap_Nurse*$C64*(1-$H64)))-Model!$G$6)))*OTCost_Nurse)+((MIN(OTCapPct*Model!$G$15,MAX(0,(($J64)/(Cap_Tech*$C64*(1-$I64)))-Model!$G$15)))*OTCost_Tech)+((MIN(OTCapPct*Model!$G$25,MAX(0,(($K64*(1+0.5*Acuity_E))/(Cap_Doc*$C64*(1-$G64)))-Model!$G$25)))*OTCost_Doc)+((MIN(OTCapPct*Model!$G$7,MAX(0,(($K64)/(Cap_Nurse*$C64*(1-$H64)))-Model!$G$7)))*OTCost_Nurse)+((MIN(OTCapPct*Model!$G$16,MAX(0,(($K64)/(Cap_Tech*$C64*(1-$I64)))-Model!$G$16)))*OTCost_Tech)+((MIN(OTCapPct*Model!$G$26,MAX(0,(($L64*(1+0.5*Acuity_N))/(Cap_Doc*$C64*(1-$G64)))-Model!$G$26)))*OTCost_Doc)+((MIN(OTCapPct*Model!$G$8,MAX(0,(($L64)/(Cap_Nurse*$C64*(1-$H64)))-Model!$G$8)))*OTCost_Nurse)+((MIN(OTCapPct*Model!$G$17,MAX(0,(($L64)/(Cap_Tech*$C64*(1-$I64)))-Model!$G$17)))*OTCost_Tech)</f>
        <v>27645.660126054954</v>
      </c>
    </row>
    <row r="65" spans="1:17" x14ac:dyDescent="0.25">
      <c r="A65" s="11">
        <v>61</v>
      </c>
      <c r="B65" s="11" t="str">
        <f t="shared" ca="1" si="0"/>
        <v>Severe</v>
      </c>
      <c r="C65" s="11">
        <f t="shared" ca="1" si="1"/>
        <v>0.8</v>
      </c>
      <c r="D65" s="11">
        <f t="shared" ca="1" si="2"/>
        <v>0</v>
      </c>
      <c r="E65" s="11">
        <f t="shared" ca="1" si="3"/>
        <v>2</v>
      </c>
      <c r="F65" s="36">
        <f t="shared" ca="1" si="4"/>
        <v>0.8921969039009372</v>
      </c>
      <c r="G65" s="11">
        <f t="shared" ca="1" si="5"/>
        <v>0</v>
      </c>
      <c r="H65" s="11">
        <f t="shared" ca="1" si="6"/>
        <v>0.12572608536402791</v>
      </c>
      <c r="I65" s="11">
        <f t="shared" ca="1" si="7"/>
        <v>9.773996346094993E-2</v>
      </c>
      <c r="J65" s="11">
        <f t="shared" ca="1" si="8"/>
        <v>74</v>
      </c>
      <c r="K65" s="11">
        <f t="shared" ca="1" si="9"/>
        <v>100</v>
      </c>
      <c r="L65" s="11">
        <f t="shared" ca="1" si="10"/>
        <v>63</v>
      </c>
      <c r="M65" s="11">
        <f ca="1">MAX(MAX(0,($J65*(1+0.5*Acuity_M))-(Model!$G$24*(1+OTCapPct)*(Cap_Doc*$C65*(1-$G65)))),MAX(0,($J65)-(Model!$G$6*(1+OTCapPct)*(Cap_Nurse*$C65*(1-$H65)))),MAX(0,($J65)-(Model!$G$15*(1+OTCapPct)*(Cap_Tech*$C65*(1-$I65)))),MAX(0,$J65-((BedsCurrent+BedsAdded)*ShiftHours*$F65/BedHr_M)),MAX(0,$J65*Acuity_M-(ImgBase+ImgExpOn*ImgExpAdd)),MAX(0,$J65-(LabBase+LabExpOn*LabExpAdd)))</f>
        <v>0.56099117057833325</v>
      </c>
      <c r="N65" s="11">
        <f ca="1">MAX(MAX(0,($K65*(1+0.5*Acuity_E))-(Model!$G$25*(1+OTCapPct)*(Cap_Doc*$C65*(1-$G65)))),MAX(0,($K65)-(Model!$G$7*(1+OTCapPct)*(Cap_Nurse*$C65*(1-$H65)))),MAX(0,($K65)-(Model!$G$16*(1+OTCapPct)*(Cap_Tech*$C65*(1-$I65)))),MAX(0,$K65-((BedsCurrent+BedsAdded)*ShiftHours*$F65/BedHr_E)),MAX(0,$K65*Acuity_E-(ImgBase+ImgExpOn*ImgExpAdd)),MAX(0,$K65-(LabBase+LabExpOn*LabExpAdd)))</f>
        <v>5</v>
      </c>
      <c r="O65" s="11">
        <f ca="1">MAX(MAX(0,($L65*(1+0.5*Acuity_N))-(Model!$G$26*(1+OTCapPct)*(Cap_Doc*$C65*(1-$G65)))),MAX(0,($L65)-(Model!$G$8*(1+OTCapPct)*(Cap_Nurse*$C65*(1-$H65)))),MAX(0,($L65)-(Model!$G$17*(1+OTCapPct)*(Cap_Tech*$C65*(1-$I65)))),MAX(0,$L65-((BedsCurrent+BedsAdded)*ShiftHours*$F65/BedHr_N)),MAX(0,$L65*Acuity_N-(ImgBase+ImgExpOn*ImgExpAdd)),MAX(0,$L65-(LabBase+LabExpOn*LabExpAdd)))</f>
        <v>0.44999999999998863</v>
      </c>
      <c r="P65" s="11">
        <f t="shared" ca="1" si="11"/>
        <v>6.0109911705783219</v>
      </c>
      <c r="Q65" s="17">
        <f ca="1">((MIN(OTCapPct*Model!$G$24,MAX(0,(($J65*(1+0.5*Acuity_M))/(Cap_Doc*$C65*(1-$G65)))-Model!$G$24)))*OTCost_Doc)+((MIN(OTCapPct*Model!$G$6,MAX(0,(($J65)/(Cap_Nurse*$C65*(1-$H65)))-Model!$G$6)))*OTCost_Nurse)+((MIN(OTCapPct*Model!$G$15,MAX(0,(($J65)/(Cap_Tech*$C65*(1-$I65)))-Model!$G$15)))*OTCost_Tech)+((MIN(OTCapPct*Model!$G$25,MAX(0,(($K65*(1+0.5*Acuity_E))/(Cap_Doc*$C65*(1-$G65)))-Model!$G$25)))*OTCost_Doc)+((MIN(OTCapPct*Model!$G$7,MAX(0,(($K65)/(Cap_Nurse*$C65*(1-$H65)))-Model!$G$7)))*OTCost_Nurse)+((MIN(OTCapPct*Model!$G$16,MAX(0,(($K65)/(Cap_Tech*$C65*(1-$I65)))-Model!$G$16)))*OTCost_Tech)+((MIN(OTCapPct*Model!$G$26,MAX(0,(($L65*(1+0.5*Acuity_N))/(Cap_Doc*$C65*(1-$G65)))-Model!$G$26)))*OTCost_Doc)+((MIN(OTCapPct*Model!$G$8,MAX(0,(($L65)/(Cap_Nurse*$C65*(1-$H65)))-Model!$G$8)))*OTCost_Nurse)+((MIN(OTCapPct*Model!$G$17,MAX(0,(($L65)/(Cap_Tech*$C65*(1-$I65)))-Model!$G$17)))*OTCost_Tech)</f>
        <v>74128.354857590966</v>
      </c>
    </row>
    <row r="66" spans="1:17" x14ac:dyDescent="0.25">
      <c r="A66" s="11">
        <v>62</v>
      </c>
      <c r="B66" s="11" t="str">
        <f t="shared" ca="1" si="0"/>
        <v>Severe</v>
      </c>
      <c r="C66" s="11">
        <f t="shared" ca="1" si="1"/>
        <v>0.8</v>
      </c>
      <c r="D66" s="11">
        <f t="shared" ca="1" si="2"/>
        <v>0</v>
      </c>
      <c r="E66" s="11">
        <f t="shared" ca="1" si="3"/>
        <v>3</v>
      </c>
      <c r="F66" s="36">
        <f t="shared" ca="1" si="4"/>
        <v>0.93154872917728193</v>
      </c>
      <c r="G66" s="11">
        <f t="shared" ca="1" si="5"/>
        <v>9.0309892033958394E-2</v>
      </c>
      <c r="H66" s="11">
        <f t="shared" ca="1" si="6"/>
        <v>6.4034292580063282E-2</v>
      </c>
      <c r="I66" s="11">
        <f t="shared" ca="1" si="7"/>
        <v>3.0870703950347633E-2</v>
      </c>
      <c r="J66" s="11">
        <f t="shared" ca="1" si="8"/>
        <v>68</v>
      </c>
      <c r="K66" s="11">
        <f t="shared" ca="1" si="9"/>
        <v>132</v>
      </c>
      <c r="L66" s="11">
        <f t="shared" ca="1" si="10"/>
        <v>68</v>
      </c>
      <c r="M66" s="11">
        <f ca="1">MAX(MAX(0,($J66*(1+0.5*Acuity_M))-(Model!$G$24*(1+OTCapPct)*(Cap_Doc*$C66*(1-$G66)))),MAX(0,($J66)-(Model!$G$6*(1+OTCapPct)*(Cap_Nurse*$C66*(1-$H66)))),MAX(0,($J66)-(Model!$G$15*(1+OTCapPct)*(Cap_Tech*$C66*(1-$I66)))),MAX(0,$J66-((BedsCurrent+BedsAdded)*ShiftHours*$F66/BedHr_M)),MAX(0,$J66*Acuity_M-(ImgBase+ImgExpOn*ImgExpAdd)),MAX(0,$J66-(LabBase+LabExpOn*LabExpAdd)))</f>
        <v>0</v>
      </c>
      <c r="N66" s="11">
        <f ca="1">MAX(MAX(0,($K66*(1+0.5*Acuity_E))-(Model!$G$25*(1+OTCapPct)*(Cap_Doc*$C66*(1-$G66)))),MAX(0,($K66)-(Model!$G$7*(1+OTCapPct)*(Cap_Nurse*$C66*(1-$H66)))),MAX(0,($K66)-(Model!$G$16*(1+OTCapPct)*(Cap_Tech*$C66*(1-$I66)))),MAX(0,$K66-((BedsCurrent+BedsAdded)*ShiftHours*$F66/BedHr_E)),MAX(0,$K66*Acuity_E-(ImgBase+ImgExpOn*ImgExpAdd)),MAX(0,$K66-(LabBase+LabExpOn*LabExpAdd)))</f>
        <v>37</v>
      </c>
      <c r="O66" s="11">
        <f ca="1">MAX(MAX(0,($L66*(1+0.5*Acuity_N))-(Model!$G$26*(1+OTCapPct)*(Cap_Doc*$C66*(1-$G66)))),MAX(0,($L66)-(Model!$G$8*(1+OTCapPct)*(Cap_Nurse*$C66*(1-$H66)))),MAX(0,($L66)-(Model!$G$17*(1+OTCapPct)*(Cap_Tech*$C66*(1-$I66)))),MAX(0,$L66-((BedsCurrent+BedsAdded)*ShiftHours*$F66/BedHr_N)),MAX(0,$L66*Acuity_N-(ImgBase+ImgExpOn*ImgExpAdd)),MAX(0,$L66-(LabBase+LabExpOn*LabExpAdd)))</f>
        <v>12.702312226445002</v>
      </c>
      <c r="P66" s="11">
        <f t="shared" ca="1" si="11"/>
        <v>49.702312226445002</v>
      </c>
      <c r="Q66" s="17">
        <f ca="1">((MIN(OTCapPct*Model!$G$24,MAX(0,(($J66*(1+0.5*Acuity_M))/(Cap_Doc*$C66*(1-$G66)))-Model!$G$24)))*OTCost_Doc)+((MIN(OTCapPct*Model!$G$6,MAX(0,(($J66)/(Cap_Nurse*$C66*(1-$H66)))-Model!$G$6)))*OTCost_Nurse)+((MIN(OTCapPct*Model!$G$15,MAX(0,(($J66)/(Cap_Tech*$C66*(1-$I66)))-Model!$G$15)))*OTCost_Tech)+((MIN(OTCapPct*Model!$G$25,MAX(0,(($K66*(1+0.5*Acuity_E))/(Cap_Doc*$C66*(1-$G66)))-Model!$G$25)))*OTCost_Doc)+((MIN(OTCapPct*Model!$G$7,MAX(0,(($K66)/(Cap_Nurse*$C66*(1-$H66)))-Model!$G$7)))*OTCost_Nurse)+((MIN(OTCapPct*Model!$G$16,MAX(0,(($K66)/(Cap_Tech*$C66*(1-$I66)))-Model!$G$16)))*OTCost_Tech)+((MIN(OTCapPct*Model!$G$26,MAX(0,(($L66*(1+0.5*Acuity_N))/(Cap_Doc*$C66*(1-$G66)))-Model!$G$26)))*OTCost_Doc)+((MIN(OTCapPct*Model!$G$8,MAX(0,(($L66)/(Cap_Nurse*$C66*(1-$H66)))-Model!$G$8)))*OTCost_Nurse)+((MIN(OTCapPct*Model!$G$17,MAX(0,(($L66)/(Cap_Tech*$C66*(1-$I66)))-Model!$G$17)))*OTCost_Tech)</f>
        <v>82104.095879597095</v>
      </c>
    </row>
    <row r="67" spans="1:17" x14ac:dyDescent="0.25">
      <c r="A67" s="11">
        <v>63</v>
      </c>
      <c r="B67" s="11" t="str">
        <f t="shared" ca="1" si="0"/>
        <v>Normal</v>
      </c>
      <c r="C67" s="11">
        <f t="shared" ca="1" si="1"/>
        <v>1</v>
      </c>
      <c r="D67" s="11">
        <f t="shared" ca="1" si="2"/>
        <v>0</v>
      </c>
      <c r="E67" s="11">
        <f t="shared" ca="1" si="3"/>
        <v>2</v>
      </c>
      <c r="F67" s="36">
        <f t="shared" ca="1" si="4"/>
        <v>0.88066002036003665</v>
      </c>
      <c r="G67" s="11">
        <f t="shared" ca="1" si="5"/>
        <v>3.5353070567868808E-2</v>
      </c>
      <c r="H67" s="11">
        <f t="shared" ca="1" si="6"/>
        <v>7.1467450303236729E-2</v>
      </c>
      <c r="I67" s="11">
        <f t="shared" ca="1" si="7"/>
        <v>0.13169062970046178</v>
      </c>
      <c r="J67" s="11">
        <f t="shared" ca="1" si="8"/>
        <v>71</v>
      </c>
      <c r="K67" s="11">
        <f t="shared" ca="1" si="9"/>
        <v>99</v>
      </c>
      <c r="L67" s="11">
        <f t="shared" ca="1" si="10"/>
        <v>51</v>
      </c>
      <c r="M67" s="11">
        <f ca="1">MAX(MAX(0,($J67*(1+0.5*Acuity_M))-(Model!$G$24*(1+OTCapPct)*(Cap_Doc*$C67*(1-$G67)))),MAX(0,($J67)-(Model!$G$6*(1+OTCapPct)*(Cap_Nurse*$C67*(1-$H67)))),MAX(0,($J67)-(Model!$G$15*(1+OTCapPct)*(Cap_Tech*$C67*(1-$I67)))),MAX(0,$J67-((BedsCurrent+BedsAdded)*ShiftHours*$F67/BedHr_M)),MAX(0,$J67*Acuity_M-(ImgBase+ImgExpOn*ImgExpAdd)),MAX(0,$J67-(LabBase+LabExpOn*LabExpAdd)))</f>
        <v>0</v>
      </c>
      <c r="N67" s="11">
        <f ca="1">MAX(MAX(0,($K67*(1+0.5*Acuity_E))-(Model!$G$25*(1+OTCapPct)*(Cap_Doc*$C67*(1-$G67)))),MAX(0,($K67)-(Model!$G$7*(1+OTCapPct)*(Cap_Nurse*$C67*(1-$H67)))),MAX(0,($K67)-(Model!$G$16*(1+OTCapPct)*(Cap_Tech*$C67*(1-$I67)))),MAX(0,$K67-((BedsCurrent+BedsAdded)*ShiftHours*$F67/BedHr_E)),MAX(0,$K67*Acuity_E-(ImgBase+ImgExpOn*ImgExpAdd)),MAX(0,$K67-(LabBase+LabExpOn*LabExpAdd)))</f>
        <v>4</v>
      </c>
      <c r="O67" s="11">
        <f ca="1">MAX(MAX(0,($L67*(1+0.5*Acuity_N))-(Model!$G$26*(1+OTCapPct)*(Cap_Doc*$C67*(1-$G67)))),MAX(0,($L67)-(Model!$G$8*(1+OTCapPct)*(Cap_Nurse*$C67*(1-$H67)))),MAX(0,($L67)-(Model!$G$17*(1+OTCapPct)*(Cap_Tech*$C67*(1-$I67)))),MAX(0,$L67-((BedsCurrent+BedsAdded)*ShiftHours*$F67/BedHr_N)),MAX(0,$L67*Acuity_N-(ImgBase+ImgExpOn*ImgExpAdd)),MAX(0,$L67-(LabBase+LabExpOn*LabExpAdd)))</f>
        <v>0</v>
      </c>
      <c r="P67" s="11">
        <f t="shared" ca="1" si="11"/>
        <v>4</v>
      </c>
      <c r="Q67" s="17">
        <f ca="1">((MIN(OTCapPct*Model!$G$24,MAX(0,(($J67*(1+0.5*Acuity_M))/(Cap_Doc*$C67*(1-$G67)))-Model!$G$24)))*OTCost_Doc)+((MIN(OTCapPct*Model!$G$6,MAX(0,(($J67)/(Cap_Nurse*$C67*(1-$H67)))-Model!$G$6)))*OTCost_Nurse)+((MIN(OTCapPct*Model!$G$15,MAX(0,(($J67)/(Cap_Tech*$C67*(1-$I67)))-Model!$G$15)))*OTCost_Tech)+((MIN(OTCapPct*Model!$G$25,MAX(0,(($K67*(1+0.5*Acuity_E))/(Cap_Doc*$C67*(1-$G67)))-Model!$G$25)))*OTCost_Doc)+((MIN(OTCapPct*Model!$G$7,MAX(0,(($K67)/(Cap_Nurse*$C67*(1-$H67)))-Model!$G$7)))*OTCost_Nurse)+((MIN(OTCapPct*Model!$G$16,MAX(0,(($K67)/(Cap_Tech*$C67*(1-$I67)))-Model!$G$16)))*OTCost_Tech)+((MIN(OTCapPct*Model!$G$26,MAX(0,(($L67*(1+0.5*Acuity_N))/(Cap_Doc*$C67*(1-$G67)))-Model!$G$26)))*OTCost_Doc)+((MIN(OTCapPct*Model!$G$8,MAX(0,(($L67)/(Cap_Nurse*$C67*(1-$H67)))-Model!$G$8)))*OTCost_Nurse)+((MIN(OTCapPct*Model!$G$17,MAX(0,(($L67)/(Cap_Tech*$C67*(1-$I67)))-Model!$G$17)))*OTCost_Tech)</f>
        <v>0</v>
      </c>
    </row>
    <row r="68" spans="1:17" x14ac:dyDescent="0.25">
      <c r="A68" s="11">
        <v>64</v>
      </c>
      <c r="B68" s="11" t="str">
        <f t="shared" ca="1" si="0"/>
        <v>Normal</v>
      </c>
      <c r="C68" s="11">
        <f t="shared" ca="1" si="1"/>
        <v>1</v>
      </c>
      <c r="D68" s="11">
        <f t="shared" ca="1" si="2"/>
        <v>0</v>
      </c>
      <c r="E68" s="11">
        <f t="shared" ca="1" si="3"/>
        <v>3</v>
      </c>
      <c r="F68" s="36">
        <f t="shared" ca="1" si="4"/>
        <v>1.1102222747736377</v>
      </c>
      <c r="G68" s="11">
        <f t="shared" ca="1" si="5"/>
        <v>0</v>
      </c>
      <c r="H68" s="11">
        <f t="shared" ca="1" si="6"/>
        <v>2.2968129496615072E-2</v>
      </c>
      <c r="I68" s="11">
        <f t="shared" ca="1" si="7"/>
        <v>0</v>
      </c>
      <c r="J68" s="11">
        <f t="shared" ca="1" si="8"/>
        <v>91</v>
      </c>
      <c r="K68" s="11">
        <f t="shared" ca="1" si="9"/>
        <v>124</v>
      </c>
      <c r="L68" s="11">
        <f t="shared" ca="1" si="10"/>
        <v>72</v>
      </c>
      <c r="M68" s="11">
        <f ca="1">MAX(MAX(0,($J68*(1+0.5*Acuity_M))-(Model!$G$24*(1+OTCapPct)*(Cap_Doc*$C68*(1-$G68)))),MAX(0,($J68)-(Model!$G$6*(1+OTCapPct)*(Cap_Nurse*$C68*(1-$H68)))),MAX(0,($J68)-(Model!$G$15*(1+OTCapPct)*(Cap_Tech*$C68*(1-$I68)))),MAX(0,$J68-((BedsCurrent+BedsAdded)*ShiftHours*$F68/BedHr_M)),MAX(0,$J68*Acuity_M-(ImgBase+ImgExpOn*ImgExpAdd)),MAX(0,$J68-(LabBase+LabExpOn*LabExpAdd)))</f>
        <v>0</v>
      </c>
      <c r="N68" s="11">
        <f ca="1">MAX(MAX(0,($K68*(1+0.5*Acuity_E))-(Model!$G$25*(1+OTCapPct)*(Cap_Doc*$C68*(1-$G68)))),MAX(0,($K68)-(Model!$G$7*(1+OTCapPct)*(Cap_Nurse*$C68*(1-$H68)))),MAX(0,($K68)-(Model!$G$16*(1+OTCapPct)*(Cap_Tech*$C68*(1-$I68)))),MAX(0,$K68-((BedsCurrent+BedsAdded)*ShiftHours*$F68/BedHr_E)),MAX(0,$K68*Acuity_E-(ImgBase+ImgExpOn*ImgExpAdd)),MAX(0,$K68-(LabBase+LabExpOn*LabExpAdd)))</f>
        <v>29</v>
      </c>
      <c r="O68" s="11">
        <f ca="1">MAX(MAX(0,($L68*(1+0.5*Acuity_N))-(Model!$G$26*(1+OTCapPct)*(Cap_Doc*$C68*(1-$G68)))),MAX(0,($L68)-(Model!$G$8*(1+OTCapPct)*(Cap_Nurse*$C68*(1-$H68)))),MAX(0,($L68)-(Model!$G$17*(1+OTCapPct)*(Cap_Tech*$C68*(1-$I68)))),MAX(0,$L68-((BedsCurrent+BedsAdded)*ShiftHours*$F68/BedHr_N)),MAX(0,$L68*Acuity_N-(ImgBase+ImgExpOn*ImgExpAdd)),MAX(0,$L68-(LabBase+LabExpOn*LabExpAdd)))</f>
        <v>0</v>
      </c>
      <c r="P68" s="11">
        <f t="shared" ca="1" si="11"/>
        <v>29</v>
      </c>
      <c r="Q68" s="17">
        <f ca="1">((MIN(OTCapPct*Model!$G$24,MAX(0,(($J68*(1+0.5*Acuity_M))/(Cap_Doc*$C68*(1-$G68)))-Model!$G$24)))*OTCost_Doc)+((MIN(OTCapPct*Model!$G$6,MAX(0,(($J68)/(Cap_Nurse*$C68*(1-$H68)))-Model!$G$6)))*OTCost_Nurse)+((MIN(OTCapPct*Model!$G$15,MAX(0,(($J68)/(Cap_Tech*$C68*(1-$I68)))-Model!$G$15)))*OTCost_Tech)+((MIN(OTCapPct*Model!$G$25,MAX(0,(($K68*(1+0.5*Acuity_E))/(Cap_Doc*$C68*(1-$G68)))-Model!$G$25)))*OTCost_Doc)+((MIN(OTCapPct*Model!$G$7,MAX(0,(($K68)/(Cap_Nurse*$C68*(1-$H68)))-Model!$G$7)))*OTCost_Nurse)+((MIN(OTCapPct*Model!$G$16,MAX(0,(($K68)/(Cap_Tech*$C68*(1-$I68)))-Model!$G$16)))*OTCost_Tech)+((MIN(OTCapPct*Model!$G$26,MAX(0,(($L68*(1+0.5*Acuity_N))/(Cap_Doc*$C68*(1-$G68)))-Model!$G$26)))*OTCost_Doc)+((MIN(OTCapPct*Model!$G$8,MAX(0,(($L68)/(Cap_Nurse*$C68*(1-$H68)))-Model!$G$8)))*OTCost_Nurse)+((MIN(OTCapPct*Model!$G$17,MAX(0,(($L68)/(Cap_Tech*$C68*(1-$I68)))-Model!$G$17)))*OTCost_Tech)</f>
        <v>38323.691395208378</v>
      </c>
    </row>
    <row r="69" spans="1:17" x14ac:dyDescent="0.25">
      <c r="A69" s="11">
        <v>65</v>
      </c>
      <c r="B69" s="11" t="str">
        <f t="shared" ref="B69:B132" ca="1" si="12">IF(RAND()&lt;P_Normal,"Normal",IF(RAND()&lt;P_Complex/(P_Complex+P_Severe),"Complex","Severe"))</f>
        <v>Complex</v>
      </c>
      <c r="C69" s="11">
        <f t="shared" ref="C69:C132" ca="1" si="13">IF(B69="Normal",1,IF(B69="Complex",0.9,0.8))</f>
        <v>0.9</v>
      </c>
      <c r="D69" s="11">
        <f t="shared" ref="D69:D132" ca="1" si="14">IF(RAND()&lt;P_Incident,1,0)</f>
        <v>0</v>
      </c>
      <c r="E69" s="11">
        <f t="shared" ref="E69:E132" ca="1" si="15">RANDBETWEEN(1,3)</f>
        <v>3</v>
      </c>
      <c r="F69" s="36">
        <f t="shared" ref="F69:F132" ca="1" si="16">1-BedHrVariability+RAND()*2*BedHrVariability</f>
        <v>1.0176955469204869</v>
      </c>
      <c r="G69" s="11">
        <f t="shared" ref="G69:G132" ca="1" si="17">MIN(0.5,MAX(0,NORMINV(RAND(),BaseAbsence_Doc,SQRT(BaseAbsence_Doc*(1-BaseAbsence_Doc)/Avail_Doc))))</f>
        <v>9.299519785393795E-2</v>
      </c>
      <c r="H69" s="11">
        <f t="shared" ref="H69:H132" ca="1" si="18">MIN(0.5,MAX(0,NORMINV(RAND(),BaseAbsence_Nurse,SQRT(BaseAbsence_Nurse*(1-BaseAbsence_Nurse)/Avail_Nurse))))</f>
        <v>4.9659695710153773E-2</v>
      </c>
      <c r="I69" s="11">
        <f t="shared" ref="I69:I132" ca="1" si="19">MIN(0.5,MAX(0,NORMINV(RAND(),BaseAbsence_Tech,SQRT(BaseAbsence_Tech*(1-BaseAbsence_Tech)/Avail_Tech))))</f>
        <v>0</v>
      </c>
      <c r="J69" s="11">
        <f t="shared" ref="J69:J132" ca="1" si="20">MAX(0,ROUND(NORMINV(RAND(),Arr_M,SD_M)*IF(AND($D69=1,$E69=1),1+IncidentSeverity,1),0))</f>
        <v>62</v>
      </c>
      <c r="K69" s="11">
        <f t="shared" ref="K69:K132" ca="1" si="21">MAX(0,ROUND(NORMINV(RAND(),Arr_E,SD_E)*IF(AND($D69=1,$E69=2),1+IncidentSeverity,1),0))</f>
        <v>88</v>
      </c>
      <c r="L69" s="11">
        <f t="shared" ref="L69:L132" ca="1" si="22">MAX(0,ROUND(NORMINV(RAND(),Arr_N,SD_N)*IF(AND($D69=1,$E69=3),1+IncidentSeverity,1),0))</f>
        <v>73</v>
      </c>
      <c r="M69" s="11">
        <f ca="1">MAX(MAX(0,($J69*(1+0.5*Acuity_M))-(Model!$G$24*(1+OTCapPct)*(Cap_Doc*$C69*(1-$G69)))),MAX(0,($J69)-(Model!$G$6*(1+OTCapPct)*(Cap_Nurse*$C69*(1-$H69)))),MAX(0,($J69)-(Model!$G$15*(1+OTCapPct)*(Cap_Tech*$C69*(1-$I69)))),MAX(0,$J69-((BedsCurrent+BedsAdded)*ShiftHours*$F69/BedHr_M)),MAX(0,$J69*Acuity_M-(ImgBase+ImgExpOn*ImgExpAdd)),MAX(0,$J69-(LabBase+LabExpOn*LabExpAdd)))</f>
        <v>0</v>
      </c>
      <c r="N69" s="11">
        <f ca="1">MAX(MAX(0,($K69*(1+0.5*Acuity_E))-(Model!$G$25*(1+OTCapPct)*(Cap_Doc*$C69*(1-$G69)))),MAX(0,($K69)-(Model!$G$7*(1+OTCapPct)*(Cap_Nurse*$C69*(1-$H69)))),MAX(0,($K69)-(Model!$G$16*(1+OTCapPct)*(Cap_Tech*$C69*(1-$I69)))),MAX(0,$K69-((BedsCurrent+BedsAdded)*ShiftHours*$F69/BedHr_E)),MAX(0,$K69*Acuity_E-(ImgBase+ImgExpOn*ImgExpAdd)),MAX(0,$K69-(LabBase+LabExpOn*LabExpAdd)))</f>
        <v>0</v>
      </c>
      <c r="O69" s="11">
        <f ca="1">MAX(MAX(0,($L69*(1+0.5*Acuity_N))-(Model!$G$26*(1+OTCapPct)*(Cap_Doc*$C69*(1-$G69)))),MAX(0,($L69)-(Model!$G$8*(1+OTCapPct)*(Cap_Nurse*$C69*(1-$H69)))),MAX(0,($L69)-(Model!$G$17*(1+OTCapPct)*(Cap_Tech*$C69*(1-$I69)))),MAX(0,$L69-((BedsCurrent+BedsAdded)*ShiftHours*$F69/BedHr_N)),MAX(0,$L69*Acuity_N-(ImgBase+ImgExpOn*ImgExpAdd)),MAX(0,$L69-(LabBase+LabExpOn*LabExpAdd)))</f>
        <v>10.482611026168968</v>
      </c>
      <c r="P69" s="11">
        <f t="shared" ref="P69:P132" ca="1" si="23">M69+N69+O69</f>
        <v>10.482611026168968</v>
      </c>
      <c r="Q69" s="17">
        <f ca="1">((MIN(OTCapPct*Model!$G$24,MAX(0,(($J69*(1+0.5*Acuity_M))/(Cap_Doc*$C69*(1-$G69)))-Model!$G$24)))*OTCost_Doc)+((MIN(OTCapPct*Model!$G$6,MAX(0,(($J69)/(Cap_Nurse*$C69*(1-$H69)))-Model!$G$6)))*OTCost_Nurse)+((MIN(OTCapPct*Model!$G$15,MAX(0,(($J69)/(Cap_Tech*$C69*(1-$I69)))-Model!$G$15)))*OTCost_Tech)+((MIN(OTCapPct*Model!$G$25,MAX(0,(($K69*(1+0.5*Acuity_E))/(Cap_Doc*$C69*(1-$G69)))-Model!$G$25)))*OTCost_Doc)+((MIN(OTCapPct*Model!$G$7,MAX(0,(($K69)/(Cap_Nurse*$C69*(1-$H69)))-Model!$G$7)))*OTCost_Nurse)+((MIN(OTCapPct*Model!$G$16,MAX(0,(($K69)/(Cap_Tech*$C69*(1-$I69)))-Model!$G$16)))*OTCost_Tech)+((MIN(OTCapPct*Model!$G$26,MAX(0,(($L69*(1+0.5*Acuity_N))/(Cap_Doc*$C69*(1-$G69)))-Model!$G$26)))*OTCost_Doc)+((MIN(OTCapPct*Model!$G$8,MAX(0,(($L69)/(Cap_Nurse*$C69*(1-$H69)))-Model!$G$8)))*OTCost_Nurse)+((MIN(OTCapPct*Model!$G$17,MAX(0,(($L69)/(Cap_Tech*$C69*(1-$I69)))-Model!$G$17)))*OTCost_Tech)</f>
        <v>20731.002712250851</v>
      </c>
    </row>
    <row r="70" spans="1:17" x14ac:dyDescent="0.25">
      <c r="A70" s="11">
        <v>66</v>
      </c>
      <c r="B70" s="11" t="str">
        <f t="shared" ca="1" si="12"/>
        <v>Complex</v>
      </c>
      <c r="C70" s="11">
        <f t="shared" ca="1" si="13"/>
        <v>0.9</v>
      </c>
      <c r="D70" s="11">
        <f t="shared" ca="1" si="14"/>
        <v>0</v>
      </c>
      <c r="E70" s="11">
        <f t="shared" ca="1" si="15"/>
        <v>2</v>
      </c>
      <c r="F70" s="36">
        <f t="shared" ca="1" si="16"/>
        <v>0.93729487468993056</v>
      </c>
      <c r="G70" s="11">
        <f t="shared" ca="1" si="17"/>
        <v>3.2685475626339312E-2</v>
      </c>
      <c r="H70" s="11">
        <f t="shared" ca="1" si="18"/>
        <v>6.1570390018023426E-2</v>
      </c>
      <c r="I70" s="11">
        <f t="shared" ca="1" si="19"/>
        <v>0</v>
      </c>
      <c r="J70" s="11">
        <f t="shared" ca="1" si="20"/>
        <v>75</v>
      </c>
      <c r="K70" s="11">
        <f t="shared" ca="1" si="21"/>
        <v>155</v>
      </c>
      <c r="L70" s="11">
        <f t="shared" ca="1" si="22"/>
        <v>68</v>
      </c>
      <c r="M70" s="11">
        <f ca="1">MAX(MAX(0,($J70*(1+0.5*Acuity_M))-(Model!$G$24*(1+OTCapPct)*(Cap_Doc*$C70*(1-$G70)))),MAX(0,($J70)-(Model!$G$6*(1+OTCapPct)*(Cap_Nurse*$C70*(1-$H70)))),MAX(0,($J70)-(Model!$G$15*(1+OTCapPct)*(Cap_Tech*$C70*(1-$I70)))),MAX(0,$J70-((BedsCurrent+BedsAdded)*ShiftHours*$F70/BedHr_M)),MAX(0,$J70*Acuity_M-(ImgBase+ImgExpOn*ImgExpAdd)),MAX(0,$J70-(LabBase+LabExpOn*LabExpAdd)))</f>
        <v>0</v>
      </c>
      <c r="N70" s="11">
        <f ca="1">MAX(MAX(0,($K70*(1+0.5*Acuity_E))-(Model!$G$25*(1+OTCapPct)*(Cap_Doc*$C70*(1-$G70)))),MAX(0,($K70)-(Model!$G$7*(1+OTCapPct)*(Cap_Nurse*$C70*(1-$H70)))),MAX(0,($K70)-(Model!$G$16*(1+OTCapPct)*(Cap_Tech*$C70*(1-$I70)))),MAX(0,$K70-((BedsCurrent+BedsAdded)*ShiftHours*$F70/BedHr_E)),MAX(0,$K70*Acuity_E-(ImgBase+ImgExpOn*ImgExpAdd)),MAX(0,$K70-(LabBase+LabExpOn*LabExpAdd)))</f>
        <v>60</v>
      </c>
      <c r="O70" s="11">
        <f ca="1">MAX(MAX(0,($L70*(1+0.5*Acuity_N))-(Model!$G$26*(1+OTCapPct)*(Cap_Doc*$C70*(1-$G70)))),MAX(0,($L70)-(Model!$G$8*(1+OTCapPct)*(Cap_Nurse*$C70*(1-$H70)))),MAX(0,($L70)-(Model!$G$17*(1+OTCapPct)*(Cap_Tech*$C70*(1-$I70)))),MAX(0,$L70-((BedsCurrent+BedsAdded)*ShiftHours*$F70/BedHr_N)),MAX(0,$L70*Acuity_N-(ImgBase+ImgExpOn*ImgExpAdd)),MAX(0,$L70-(LabBase+LabExpOn*LabExpAdd)))</f>
        <v>0</v>
      </c>
      <c r="P70" s="11">
        <f t="shared" ca="1" si="23"/>
        <v>60</v>
      </c>
      <c r="Q70" s="17">
        <f ca="1">((MIN(OTCapPct*Model!$G$24,MAX(0,(($J70*(1+0.5*Acuity_M))/(Cap_Doc*$C70*(1-$G70)))-Model!$G$24)))*OTCost_Doc)+((MIN(OTCapPct*Model!$G$6,MAX(0,(($J70)/(Cap_Nurse*$C70*(1-$H70)))-Model!$G$6)))*OTCost_Nurse)+((MIN(OTCapPct*Model!$G$15,MAX(0,(($J70)/(Cap_Tech*$C70*(1-$I70)))-Model!$G$15)))*OTCost_Tech)+((MIN(OTCapPct*Model!$G$25,MAX(0,(($K70*(1+0.5*Acuity_E))/(Cap_Doc*$C70*(1-$G70)))-Model!$G$25)))*OTCost_Doc)+((MIN(OTCapPct*Model!$G$7,MAX(0,(($K70)/(Cap_Nurse*$C70*(1-$H70)))-Model!$G$7)))*OTCost_Nurse)+((MIN(OTCapPct*Model!$G$16,MAX(0,(($K70)/(Cap_Tech*$C70*(1-$I70)))-Model!$G$16)))*OTCost_Tech)+((MIN(OTCapPct*Model!$G$26,MAX(0,(($L70*(1+0.5*Acuity_N))/(Cap_Doc*$C70*(1-$G70)))-Model!$G$26)))*OTCost_Doc)+((MIN(OTCapPct*Model!$G$8,MAX(0,(($L70)/(Cap_Nurse*$C70*(1-$H70)))-Model!$G$8)))*OTCost_Nurse)+((MIN(OTCapPct*Model!$G$17,MAX(0,(($L70)/(Cap_Tech*$C70*(1-$I70)))-Model!$G$17)))*OTCost_Tech)</f>
        <v>69674.347609301723</v>
      </c>
    </row>
    <row r="71" spans="1:17" x14ac:dyDescent="0.25">
      <c r="A71" s="11">
        <v>67</v>
      </c>
      <c r="B71" s="11" t="str">
        <f t="shared" ca="1" si="12"/>
        <v>Normal</v>
      </c>
      <c r="C71" s="11">
        <f t="shared" ca="1" si="13"/>
        <v>1</v>
      </c>
      <c r="D71" s="11">
        <f t="shared" ca="1" si="14"/>
        <v>0</v>
      </c>
      <c r="E71" s="11">
        <f t="shared" ca="1" si="15"/>
        <v>3</v>
      </c>
      <c r="F71" s="36">
        <f t="shared" ca="1" si="16"/>
        <v>0.94046271697523753</v>
      </c>
      <c r="G71" s="11">
        <f t="shared" ca="1" si="17"/>
        <v>6.4915242039714285E-2</v>
      </c>
      <c r="H71" s="11">
        <f t="shared" ca="1" si="18"/>
        <v>4.8318195540585751E-2</v>
      </c>
      <c r="I71" s="11">
        <f t="shared" ca="1" si="19"/>
        <v>0</v>
      </c>
      <c r="J71" s="11">
        <f t="shared" ca="1" si="20"/>
        <v>83</v>
      </c>
      <c r="K71" s="11">
        <f t="shared" ca="1" si="21"/>
        <v>148</v>
      </c>
      <c r="L71" s="11">
        <f t="shared" ca="1" si="22"/>
        <v>66</v>
      </c>
      <c r="M71" s="11">
        <f ca="1">MAX(MAX(0,($J71*(1+0.5*Acuity_M))-(Model!$G$24*(1+OTCapPct)*(Cap_Doc*$C71*(1-$G71)))),MAX(0,($J71)-(Model!$G$6*(1+OTCapPct)*(Cap_Nurse*$C71*(1-$H71)))),MAX(0,($J71)-(Model!$G$15*(1+OTCapPct)*(Cap_Tech*$C71*(1-$I71)))),MAX(0,$J71-((BedsCurrent+BedsAdded)*ShiftHours*$F71/BedHr_M)),MAX(0,$J71*Acuity_M-(ImgBase+ImgExpOn*ImgExpAdd)),MAX(0,$J71-(LabBase+LabExpOn*LabExpAdd)))</f>
        <v>0</v>
      </c>
      <c r="N71" s="11">
        <f ca="1">MAX(MAX(0,($K71*(1+0.5*Acuity_E))-(Model!$G$25*(1+OTCapPct)*(Cap_Doc*$C71*(1-$G71)))),MAX(0,($K71)-(Model!$G$7*(1+OTCapPct)*(Cap_Nurse*$C71*(1-$H71)))),MAX(0,($K71)-(Model!$G$16*(1+OTCapPct)*(Cap_Tech*$C71*(1-$I71)))),MAX(0,$K71-((BedsCurrent+BedsAdded)*ShiftHours*$F71/BedHr_E)),MAX(0,$K71*Acuity_E-(ImgBase+ImgExpOn*ImgExpAdd)),MAX(0,$K71-(LabBase+LabExpOn*LabExpAdd)))</f>
        <v>53</v>
      </c>
      <c r="O71" s="11">
        <f ca="1">MAX(MAX(0,($L71*(1+0.5*Acuity_N))-(Model!$G$26*(1+OTCapPct)*(Cap_Doc*$C71*(1-$G71)))),MAX(0,($L71)-(Model!$G$8*(1+OTCapPct)*(Cap_Nurse*$C71*(1-$H71)))),MAX(0,($L71)-(Model!$G$17*(1+OTCapPct)*(Cap_Tech*$C71*(1-$I71)))),MAX(0,$L71-((BedsCurrent+BedsAdded)*ShiftHours*$F71/BedHr_N)),MAX(0,$L71*Acuity_N-(ImgBase+ImgExpOn*ImgExpAdd)),MAX(0,$L71-(LabBase+LabExpOn*LabExpAdd)))</f>
        <v>0</v>
      </c>
      <c r="P71" s="11">
        <f t="shared" ca="1" si="23"/>
        <v>53</v>
      </c>
      <c r="Q71" s="17">
        <f ca="1">((MIN(OTCapPct*Model!$G$24,MAX(0,(($J71*(1+0.5*Acuity_M))/(Cap_Doc*$C71*(1-$G71)))-Model!$G$24)))*OTCost_Doc)+((MIN(OTCapPct*Model!$G$6,MAX(0,(($J71)/(Cap_Nurse*$C71*(1-$H71)))-Model!$G$6)))*OTCost_Nurse)+((MIN(OTCapPct*Model!$G$15,MAX(0,(($J71)/(Cap_Tech*$C71*(1-$I71)))-Model!$G$15)))*OTCost_Tech)+((MIN(OTCapPct*Model!$G$25,MAX(0,(($K71*(1+0.5*Acuity_E))/(Cap_Doc*$C71*(1-$G71)))-Model!$G$25)))*OTCost_Doc)+((MIN(OTCapPct*Model!$G$7,MAX(0,(($K71)/(Cap_Nurse*$C71*(1-$H71)))-Model!$G$7)))*OTCost_Nurse)+((MIN(OTCapPct*Model!$G$16,MAX(0,(($K71)/(Cap_Tech*$C71*(1-$I71)))-Model!$G$16)))*OTCost_Tech)+((MIN(OTCapPct*Model!$G$26,MAX(0,(($L71*(1+0.5*Acuity_N))/(Cap_Doc*$C71*(1-$G71)))-Model!$G$26)))*OTCost_Doc)+((MIN(OTCapPct*Model!$G$8,MAX(0,(($L71)/(Cap_Nurse*$C71*(1-$H71)))-Model!$G$8)))*OTCost_Nurse)+((MIN(OTCapPct*Model!$G$17,MAX(0,(($L71)/(Cap_Tech*$C71*(1-$I71)))-Model!$G$17)))*OTCost_Tech)</f>
        <v>59553.801904266074</v>
      </c>
    </row>
    <row r="72" spans="1:17" x14ac:dyDescent="0.25">
      <c r="A72" s="11">
        <v>68</v>
      </c>
      <c r="B72" s="11" t="str">
        <f t="shared" ca="1" si="12"/>
        <v>Normal</v>
      </c>
      <c r="C72" s="11">
        <f t="shared" ca="1" si="13"/>
        <v>1</v>
      </c>
      <c r="D72" s="11">
        <f t="shared" ca="1" si="14"/>
        <v>0</v>
      </c>
      <c r="E72" s="11">
        <f t="shared" ca="1" si="15"/>
        <v>2</v>
      </c>
      <c r="F72" s="36">
        <f t="shared" ca="1" si="16"/>
        <v>1.0199215914542834</v>
      </c>
      <c r="G72" s="11">
        <f t="shared" ca="1" si="17"/>
        <v>0.12459083462910028</v>
      </c>
      <c r="H72" s="11">
        <f t="shared" ca="1" si="18"/>
        <v>5.3598993347116118E-2</v>
      </c>
      <c r="I72" s="11">
        <f t="shared" ca="1" si="19"/>
        <v>0.1097158200706731</v>
      </c>
      <c r="J72" s="11">
        <f t="shared" ca="1" si="20"/>
        <v>97</v>
      </c>
      <c r="K72" s="11">
        <f t="shared" ca="1" si="21"/>
        <v>155</v>
      </c>
      <c r="L72" s="11">
        <f t="shared" ca="1" si="22"/>
        <v>76</v>
      </c>
      <c r="M72" s="11">
        <f ca="1">MAX(MAX(0,($J72*(1+0.5*Acuity_M))-(Model!$G$24*(1+OTCapPct)*(Cap_Doc*$C72*(1-$G72)))),MAX(0,($J72)-(Model!$G$6*(1+OTCapPct)*(Cap_Nurse*$C72*(1-$H72)))),MAX(0,($J72)-(Model!$G$15*(1+OTCapPct)*(Cap_Tech*$C72*(1-$I72)))),MAX(0,$J72-((BedsCurrent+BedsAdded)*ShiftHours*$F72/BedHr_M)),MAX(0,$J72*Acuity_M-(ImgBase+ImgExpOn*ImgExpAdd)),MAX(0,$J72-(LabBase+LabExpOn*LabExpAdd)))</f>
        <v>9.1864688957737997</v>
      </c>
      <c r="N72" s="11">
        <f ca="1">MAX(MAX(0,($K72*(1+0.5*Acuity_E))-(Model!$G$25*(1+OTCapPct)*(Cap_Doc*$C72*(1-$G72)))),MAX(0,($K72)-(Model!$G$7*(1+OTCapPct)*(Cap_Nurse*$C72*(1-$H72)))),MAX(0,($K72)-(Model!$G$16*(1+OTCapPct)*(Cap_Tech*$C72*(1-$I72)))),MAX(0,$K72-((BedsCurrent+BedsAdded)*ShiftHours*$F72/BedHr_E)),MAX(0,$K72*Acuity_E-(ImgBase+ImgExpOn*ImgExpAdd)),MAX(0,$K72-(LabBase+LabExpOn*LabExpAdd)))</f>
        <v>60</v>
      </c>
      <c r="O72" s="11">
        <f ca="1">MAX(MAX(0,($L72*(1+0.5*Acuity_N))-(Model!$G$26*(1+OTCapPct)*(Cap_Doc*$C72*(1-$G72)))),MAX(0,($L72)-(Model!$G$8*(1+OTCapPct)*(Cap_Nurse*$C72*(1-$H72)))),MAX(0,($L72)-(Model!$G$17*(1+OTCapPct)*(Cap_Tech*$C72*(1-$I72)))),MAX(0,$L72-((BedsCurrent+BedsAdded)*ShiftHours*$F72/BedHr_N)),MAX(0,$L72*Acuity_N-(ImgBase+ImgExpOn*ImgExpAdd)),MAX(0,$L72-(LabBase+LabExpOn*LabExpAdd)))</f>
        <v>8.6131751166190185</v>
      </c>
      <c r="P72" s="11">
        <f t="shared" ca="1" si="23"/>
        <v>77.799644012392818</v>
      </c>
      <c r="Q72" s="17">
        <f ca="1">((MIN(OTCapPct*Model!$G$24,MAX(0,(($J72*(1+0.5*Acuity_M))/(Cap_Doc*$C72*(1-$G72)))-Model!$G$24)))*OTCost_Doc)+((MIN(OTCapPct*Model!$G$6,MAX(0,(($J72)/(Cap_Nurse*$C72*(1-$H72)))-Model!$G$6)))*OTCost_Nurse)+((MIN(OTCapPct*Model!$G$15,MAX(0,(($J72)/(Cap_Tech*$C72*(1-$I72)))-Model!$G$15)))*OTCost_Tech)+((MIN(OTCapPct*Model!$G$25,MAX(0,(($K72*(1+0.5*Acuity_E))/(Cap_Doc*$C72*(1-$G72)))-Model!$G$25)))*OTCost_Doc)+((MIN(OTCapPct*Model!$G$7,MAX(0,(($K72)/(Cap_Nurse*$C72*(1-$H72)))-Model!$G$7)))*OTCost_Nurse)+((MIN(OTCapPct*Model!$G$16,MAX(0,(($K72)/(Cap_Tech*$C72*(1-$I72)))-Model!$G$16)))*OTCost_Tech)+((MIN(OTCapPct*Model!$G$26,MAX(0,(($L72*(1+0.5*Acuity_N))/(Cap_Doc*$C72*(1-$G72)))-Model!$G$26)))*OTCost_Doc)+((MIN(OTCapPct*Model!$G$8,MAX(0,(($L72)/(Cap_Nurse*$C72*(1-$H72)))-Model!$G$8)))*OTCost_Nurse)+((MIN(OTCapPct*Model!$G$17,MAX(0,(($L72)/(Cap_Tech*$C72*(1-$I72)))-Model!$G$17)))*OTCost_Tech)</f>
        <v>92924.458226621457</v>
      </c>
    </row>
    <row r="73" spans="1:17" x14ac:dyDescent="0.25">
      <c r="A73" s="11">
        <v>69</v>
      </c>
      <c r="B73" s="11" t="str">
        <f t="shared" ca="1" si="12"/>
        <v>Normal</v>
      </c>
      <c r="C73" s="11">
        <f t="shared" ca="1" si="13"/>
        <v>1</v>
      </c>
      <c r="D73" s="11">
        <f t="shared" ca="1" si="14"/>
        <v>0</v>
      </c>
      <c r="E73" s="11">
        <f t="shared" ca="1" si="15"/>
        <v>3</v>
      </c>
      <c r="F73" s="36">
        <f t="shared" ca="1" si="16"/>
        <v>1.185555878994687</v>
      </c>
      <c r="G73" s="11">
        <f t="shared" ca="1" si="17"/>
        <v>8.2946317678741055E-2</v>
      </c>
      <c r="H73" s="11">
        <f t="shared" ca="1" si="18"/>
        <v>3.7855324889355065E-2</v>
      </c>
      <c r="I73" s="11">
        <f t="shared" ca="1" si="19"/>
        <v>1.9925807750175138E-2</v>
      </c>
      <c r="J73" s="11">
        <f t="shared" ca="1" si="20"/>
        <v>83</v>
      </c>
      <c r="K73" s="11">
        <f t="shared" ca="1" si="21"/>
        <v>82</v>
      </c>
      <c r="L73" s="11">
        <f t="shared" ca="1" si="22"/>
        <v>83</v>
      </c>
      <c r="M73" s="11">
        <f ca="1">MAX(MAX(0,($J73*(1+0.5*Acuity_M))-(Model!$G$24*(1+OTCapPct)*(Cap_Doc*$C73*(1-$G73)))),MAX(0,($J73)-(Model!$G$6*(1+OTCapPct)*(Cap_Nurse*$C73*(1-$H73)))),MAX(0,($J73)-(Model!$G$15*(1+OTCapPct)*(Cap_Tech*$C73*(1-$I73)))),MAX(0,$J73-((BedsCurrent+BedsAdded)*ShiftHours*$F73/BedHr_M)),MAX(0,$J73*Acuity_M-(ImgBase+ImgExpOn*ImgExpAdd)),MAX(0,$J73-(LabBase+LabExpOn*LabExpAdd)))</f>
        <v>0</v>
      </c>
      <c r="N73" s="11">
        <f ca="1">MAX(MAX(0,($K73*(1+0.5*Acuity_E))-(Model!$G$25*(1+OTCapPct)*(Cap_Doc*$C73*(1-$G73)))),MAX(0,($K73)-(Model!$G$7*(1+OTCapPct)*(Cap_Nurse*$C73*(1-$H73)))),MAX(0,($K73)-(Model!$G$16*(1+OTCapPct)*(Cap_Tech*$C73*(1-$I73)))),MAX(0,$K73-((BedsCurrent+BedsAdded)*ShiftHours*$F73/BedHr_E)),MAX(0,$K73*Acuity_E-(ImgBase+ImgExpOn*ImgExpAdd)),MAX(0,$K73-(LabBase+LabExpOn*LabExpAdd)))</f>
        <v>0</v>
      </c>
      <c r="O73" s="11">
        <f ca="1">MAX(MAX(0,($L73*(1+0.5*Acuity_N))-(Model!$G$26*(1+OTCapPct)*(Cap_Doc*$C73*(1-$G73)))),MAX(0,($L73)-(Model!$G$8*(1+OTCapPct)*(Cap_Nurse*$C73*(1-$H73)))),MAX(0,($L73)-(Model!$G$17*(1+OTCapPct)*(Cap_Tech*$C73*(1-$I73)))),MAX(0,$L73-((BedsCurrent+BedsAdded)*ShiftHours*$F73/BedHr_N)),MAX(0,$L73*Acuity_N-(ImgBase+ImgExpOn*ImgExpAdd)),MAX(0,$L73-(LabBase+LabExpOn*LabExpAdd)))</f>
        <v>12.915168591086683</v>
      </c>
      <c r="P73" s="11">
        <f t="shared" ca="1" si="23"/>
        <v>12.915168591086683</v>
      </c>
      <c r="Q73" s="17">
        <f ca="1">((MIN(OTCapPct*Model!$G$24,MAX(0,(($J73*(1+0.5*Acuity_M))/(Cap_Doc*$C73*(1-$G73)))-Model!$G$24)))*OTCost_Doc)+((MIN(OTCapPct*Model!$G$6,MAX(0,(($J73)/(Cap_Nurse*$C73*(1-$H73)))-Model!$G$6)))*OTCost_Nurse)+((MIN(OTCapPct*Model!$G$15,MAX(0,(($J73)/(Cap_Tech*$C73*(1-$I73)))-Model!$G$15)))*OTCost_Tech)+((MIN(OTCapPct*Model!$G$25,MAX(0,(($K73*(1+0.5*Acuity_E))/(Cap_Doc*$C73*(1-$G73)))-Model!$G$25)))*OTCost_Doc)+((MIN(OTCapPct*Model!$G$7,MAX(0,(($K73)/(Cap_Nurse*$C73*(1-$H73)))-Model!$G$7)))*OTCost_Nurse)+((MIN(OTCapPct*Model!$G$16,MAX(0,(($K73)/(Cap_Tech*$C73*(1-$I73)))-Model!$G$16)))*OTCost_Tech)+((MIN(OTCapPct*Model!$G$26,MAX(0,(($L73*(1+0.5*Acuity_N))/(Cap_Doc*$C73*(1-$G73)))-Model!$G$26)))*OTCost_Doc)+((MIN(OTCapPct*Model!$G$8,MAX(0,(($L73)/(Cap_Nurse*$C73*(1-$H73)))-Model!$G$8)))*OTCost_Nurse)+((MIN(OTCapPct*Model!$G$17,MAX(0,(($L73)/(Cap_Tech*$C73*(1-$I73)))-Model!$G$17)))*OTCost_Tech)</f>
        <v>30301.693236834773</v>
      </c>
    </row>
    <row r="74" spans="1:17" x14ac:dyDescent="0.25">
      <c r="A74" s="11">
        <v>70</v>
      </c>
      <c r="B74" s="11" t="str">
        <f t="shared" ca="1" si="12"/>
        <v>Normal</v>
      </c>
      <c r="C74" s="11">
        <f t="shared" ca="1" si="13"/>
        <v>1</v>
      </c>
      <c r="D74" s="11">
        <f t="shared" ca="1" si="14"/>
        <v>0</v>
      </c>
      <c r="E74" s="11">
        <f t="shared" ca="1" si="15"/>
        <v>2</v>
      </c>
      <c r="F74" s="36">
        <f t="shared" ca="1" si="16"/>
        <v>0.97090474292626461</v>
      </c>
      <c r="G74" s="11">
        <f t="shared" ca="1" si="17"/>
        <v>3.0176535386970748E-2</v>
      </c>
      <c r="H74" s="11">
        <f t="shared" ca="1" si="18"/>
        <v>0</v>
      </c>
      <c r="I74" s="11">
        <f t="shared" ca="1" si="19"/>
        <v>0.13288783118250233</v>
      </c>
      <c r="J74" s="11">
        <f t="shared" ca="1" si="20"/>
        <v>87</v>
      </c>
      <c r="K74" s="11">
        <f t="shared" ca="1" si="21"/>
        <v>128</v>
      </c>
      <c r="L74" s="11">
        <f t="shared" ca="1" si="22"/>
        <v>56</v>
      </c>
      <c r="M74" s="11">
        <f ca="1">MAX(MAX(0,($J74*(1+0.5*Acuity_M))-(Model!$G$24*(1+OTCapPct)*(Cap_Doc*$C74*(1-$G74)))),MAX(0,($J74)-(Model!$G$6*(1+OTCapPct)*(Cap_Nurse*$C74*(1-$H74)))),MAX(0,($J74)-(Model!$G$15*(1+OTCapPct)*(Cap_Tech*$C74*(1-$I74)))),MAX(0,$J74-((BedsCurrent+BedsAdded)*ShiftHours*$F74/BedHr_M)),MAX(0,$J74*Acuity_M-(ImgBase+ImgExpOn*ImgExpAdd)),MAX(0,$J74-(LabBase+LabExpOn*LabExpAdd)))</f>
        <v>0</v>
      </c>
      <c r="N74" s="11">
        <f ca="1">MAX(MAX(0,($K74*(1+0.5*Acuity_E))-(Model!$G$25*(1+OTCapPct)*(Cap_Doc*$C74*(1-$G74)))),MAX(0,($K74)-(Model!$G$7*(1+OTCapPct)*(Cap_Nurse*$C74*(1-$H74)))),MAX(0,($K74)-(Model!$G$16*(1+OTCapPct)*(Cap_Tech*$C74*(1-$I74)))),MAX(0,$K74-((BedsCurrent+BedsAdded)*ShiftHours*$F74/BedHr_E)),MAX(0,$K74*Acuity_E-(ImgBase+ImgExpOn*ImgExpAdd)),MAX(0,$K74-(LabBase+LabExpOn*LabExpAdd)))</f>
        <v>33</v>
      </c>
      <c r="O74" s="11">
        <f ca="1">MAX(MAX(0,($L74*(1+0.5*Acuity_N))-(Model!$G$26*(1+OTCapPct)*(Cap_Doc*$C74*(1-$G74)))),MAX(0,($L74)-(Model!$G$8*(1+OTCapPct)*(Cap_Nurse*$C74*(1-$H74)))),MAX(0,($L74)-(Model!$G$17*(1+OTCapPct)*(Cap_Tech*$C74*(1-$I74)))),MAX(0,$L74-((BedsCurrent+BedsAdded)*ShiftHours*$F74/BedHr_N)),MAX(0,$L74*Acuity_N-(ImgBase+ImgExpOn*ImgExpAdd)),MAX(0,$L74-(LabBase+LabExpOn*LabExpAdd)))</f>
        <v>0</v>
      </c>
      <c r="P74" s="11">
        <f t="shared" ca="1" si="23"/>
        <v>33</v>
      </c>
      <c r="Q74" s="17">
        <f ca="1">((MIN(OTCapPct*Model!$G$24,MAX(0,(($J74*(1+0.5*Acuity_M))/(Cap_Doc*$C74*(1-$G74)))-Model!$G$24)))*OTCost_Doc)+((MIN(OTCapPct*Model!$G$6,MAX(0,(($J74)/(Cap_Nurse*$C74*(1-$H74)))-Model!$G$6)))*OTCost_Nurse)+((MIN(OTCapPct*Model!$G$15,MAX(0,(($J74)/(Cap_Tech*$C74*(1-$I74)))-Model!$G$15)))*OTCost_Tech)+((MIN(OTCapPct*Model!$G$25,MAX(0,(($K74*(1+0.5*Acuity_E))/(Cap_Doc*$C74*(1-$G74)))-Model!$G$25)))*OTCost_Doc)+((MIN(OTCapPct*Model!$G$7,MAX(0,(($K74)/(Cap_Nurse*$C74*(1-$H74)))-Model!$G$7)))*OTCost_Nurse)+((MIN(OTCapPct*Model!$G$16,MAX(0,(($K74)/(Cap_Tech*$C74*(1-$I74)))-Model!$G$16)))*OTCost_Tech)+((MIN(OTCapPct*Model!$G$26,MAX(0,(($L74*(1+0.5*Acuity_N))/(Cap_Doc*$C74*(1-$G74)))-Model!$G$26)))*OTCost_Doc)+((MIN(OTCapPct*Model!$G$8,MAX(0,(($L74)/(Cap_Nurse*$C74*(1-$H74)))-Model!$G$8)))*OTCost_Nurse)+((MIN(OTCapPct*Model!$G$17,MAX(0,(($L74)/(Cap_Tech*$C74*(1-$I74)))-Model!$G$17)))*OTCost_Tech)</f>
        <v>37809.641436842685</v>
      </c>
    </row>
    <row r="75" spans="1:17" x14ac:dyDescent="0.25">
      <c r="A75" s="11">
        <v>71</v>
      </c>
      <c r="B75" s="11" t="str">
        <f t="shared" ca="1" si="12"/>
        <v>Normal</v>
      </c>
      <c r="C75" s="11">
        <f t="shared" ca="1" si="13"/>
        <v>1</v>
      </c>
      <c r="D75" s="11">
        <f t="shared" ca="1" si="14"/>
        <v>0</v>
      </c>
      <c r="E75" s="11">
        <f t="shared" ca="1" si="15"/>
        <v>2</v>
      </c>
      <c r="F75" s="36">
        <f t="shared" ca="1" si="16"/>
        <v>1.0270150860809819</v>
      </c>
      <c r="G75" s="11">
        <f t="shared" ca="1" si="17"/>
        <v>9.6859818445784951E-2</v>
      </c>
      <c r="H75" s="11">
        <f t="shared" ca="1" si="18"/>
        <v>8.4301438153699712E-2</v>
      </c>
      <c r="I75" s="11">
        <f t="shared" ca="1" si="19"/>
        <v>6.0181785296407497E-2</v>
      </c>
      <c r="J75" s="11">
        <f t="shared" ca="1" si="20"/>
        <v>88</v>
      </c>
      <c r="K75" s="11">
        <f t="shared" ca="1" si="21"/>
        <v>104</v>
      </c>
      <c r="L75" s="11">
        <f t="shared" ca="1" si="22"/>
        <v>66</v>
      </c>
      <c r="M75" s="11">
        <f ca="1">MAX(MAX(0,($J75*(1+0.5*Acuity_M))-(Model!$G$24*(1+OTCapPct)*(Cap_Doc*$C75*(1-$G75)))),MAX(0,($J75)-(Model!$G$6*(1+OTCapPct)*(Cap_Nurse*$C75*(1-$H75)))),MAX(0,($J75)-(Model!$G$15*(1+OTCapPct)*(Cap_Tech*$C75*(1-$I75)))),MAX(0,$J75-((BedsCurrent+BedsAdded)*ShiftHours*$F75/BedHr_M)),MAX(0,$J75*Acuity_M-(ImgBase+ImgExpOn*ImgExpAdd)),MAX(0,$J75-(LabBase+LabExpOn*LabExpAdd)))</f>
        <v>0</v>
      </c>
      <c r="N75" s="11">
        <f ca="1">MAX(MAX(0,($K75*(1+0.5*Acuity_E))-(Model!$G$25*(1+OTCapPct)*(Cap_Doc*$C75*(1-$G75)))),MAX(0,($K75)-(Model!$G$7*(1+OTCapPct)*(Cap_Nurse*$C75*(1-$H75)))),MAX(0,($K75)-(Model!$G$16*(1+OTCapPct)*(Cap_Tech*$C75*(1-$I75)))),MAX(0,$K75-((BedsCurrent+BedsAdded)*ShiftHours*$F75/BedHr_E)),MAX(0,$K75*Acuity_E-(ImgBase+ImgExpOn*ImgExpAdd)),MAX(0,$K75-(LabBase+LabExpOn*LabExpAdd)))</f>
        <v>9</v>
      </c>
      <c r="O75" s="11">
        <f ca="1">MAX(MAX(0,($L75*(1+0.5*Acuity_N))-(Model!$G$26*(1+OTCapPct)*(Cap_Doc*$C75*(1-$G75)))),MAX(0,($L75)-(Model!$G$8*(1+OTCapPct)*(Cap_Nurse*$C75*(1-$H75)))),MAX(0,($L75)-(Model!$G$17*(1+OTCapPct)*(Cap_Tech*$C75*(1-$I75)))),MAX(0,$L75-((BedsCurrent+BedsAdded)*ShiftHours*$F75/BedHr_N)),MAX(0,$L75*Acuity_N-(ImgBase+ImgExpOn*ImgExpAdd)),MAX(0,$L75-(LabBase+LabExpOn*LabExpAdd)))</f>
        <v>0</v>
      </c>
      <c r="P75" s="11">
        <f t="shared" ca="1" si="23"/>
        <v>9</v>
      </c>
      <c r="Q75" s="17">
        <f ca="1">((MIN(OTCapPct*Model!$G$24,MAX(0,(($J75*(1+0.5*Acuity_M))/(Cap_Doc*$C75*(1-$G75)))-Model!$G$24)))*OTCost_Doc)+((MIN(OTCapPct*Model!$G$6,MAX(0,(($J75)/(Cap_Nurse*$C75*(1-$H75)))-Model!$G$6)))*OTCost_Nurse)+((MIN(OTCapPct*Model!$G$15,MAX(0,(($J75)/(Cap_Tech*$C75*(1-$I75)))-Model!$G$15)))*OTCost_Tech)+((MIN(OTCapPct*Model!$G$25,MAX(0,(($K75*(1+0.5*Acuity_E))/(Cap_Doc*$C75*(1-$G75)))-Model!$G$25)))*OTCost_Doc)+((MIN(OTCapPct*Model!$G$7,MAX(0,(($K75)/(Cap_Nurse*$C75*(1-$H75)))-Model!$G$7)))*OTCost_Nurse)+((MIN(OTCapPct*Model!$G$16,MAX(0,(($K75)/(Cap_Tech*$C75*(1-$I75)))-Model!$G$16)))*OTCost_Tech)+((MIN(OTCapPct*Model!$G$26,MAX(0,(($L75*(1+0.5*Acuity_N))/(Cap_Doc*$C75*(1-$G75)))-Model!$G$26)))*OTCost_Doc)+((MIN(OTCapPct*Model!$G$8,MAX(0,(($L75)/(Cap_Nurse*$C75*(1-$H75)))-Model!$G$8)))*OTCost_Nurse)+((MIN(OTCapPct*Model!$G$17,MAX(0,(($L75)/(Cap_Tech*$C75*(1-$I75)))-Model!$G$17)))*OTCost_Tech)</f>
        <v>33805.597171697686</v>
      </c>
    </row>
    <row r="76" spans="1:17" x14ac:dyDescent="0.25">
      <c r="A76" s="11">
        <v>72</v>
      </c>
      <c r="B76" s="11" t="str">
        <f t="shared" ca="1" si="12"/>
        <v>Normal</v>
      </c>
      <c r="C76" s="11">
        <f t="shared" ca="1" si="13"/>
        <v>1</v>
      </c>
      <c r="D76" s="11">
        <f t="shared" ca="1" si="14"/>
        <v>0</v>
      </c>
      <c r="E76" s="11">
        <f t="shared" ca="1" si="15"/>
        <v>3</v>
      </c>
      <c r="F76" s="36">
        <f t="shared" ca="1" si="16"/>
        <v>1.1451003038434959</v>
      </c>
      <c r="G76" s="11">
        <f t="shared" ca="1" si="17"/>
        <v>7.6477556483170922E-2</v>
      </c>
      <c r="H76" s="11">
        <f t="shared" ca="1" si="18"/>
        <v>7.3094761366506611E-2</v>
      </c>
      <c r="I76" s="11">
        <f t="shared" ca="1" si="19"/>
        <v>0.16528821078437148</v>
      </c>
      <c r="J76" s="11">
        <f t="shared" ca="1" si="20"/>
        <v>99</v>
      </c>
      <c r="K76" s="11">
        <f t="shared" ca="1" si="21"/>
        <v>114</v>
      </c>
      <c r="L76" s="11">
        <f t="shared" ca="1" si="22"/>
        <v>75</v>
      </c>
      <c r="M76" s="11">
        <f ca="1">MAX(MAX(0,($J76*(1+0.5*Acuity_M))-(Model!$G$24*(1+OTCapPct)*(Cap_Doc*$C76*(1-$G76)))),MAX(0,($J76)-(Model!$G$6*(1+OTCapPct)*(Cap_Nurse*$C76*(1-$H76)))),MAX(0,($J76)-(Model!$G$15*(1+OTCapPct)*(Cap_Tech*$C76*(1-$I76)))),MAX(0,$J76-((BedsCurrent+BedsAdded)*ShiftHours*$F76/BedHr_M)),MAX(0,$J76*Acuity_M-(ImgBase+ImgExpOn*ImgExpAdd)),MAX(0,$J76-(LabBase+LabExpOn*LabExpAdd)))</f>
        <v>5.9937251043567272</v>
      </c>
      <c r="N76" s="11">
        <f ca="1">MAX(MAX(0,($K76*(1+0.5*Acuity_E))-(Model!$G$25*(1+OTCapPct)*(Cap_Doc*$C76*(1-$G76)))),MAX(0,($K76)-(Model!$G$7*(1+OTCapPct)*(Cap_Nurse*$C76*(1-$H76)))),MAX(0,($K76)-(Model!$G$16*(1+OTCapPct)*(Cap_Tech*$C76*(1-$I76)))),MAX(0,$K76-((BedsCurrent+BedsAdded)*ShiftHours*$F76/BedHr_E)),MAX(0,$K76*Acuity_E-(ImgBase+ImgExpOn*ImgExpAdd)),MAX(0,$K76-(LabBase+LabExpOn*LabExpAdd)))</f>
        <v>19</v>
      </c>
      <c r="O76" s="11">
        <f ca="1">MAX(MAX(0,($L76*(1+0.5*Acuity_N))-(Model!$G$26*(1+OTCapPct)*(Cap_Doc*$C76*(1-$G76)))),MAX(0,($L76)-(Model!$G$8*(1+OTCapPct)*(Cap_Nurse*$C76*(1-$H76)))),MAX(0,($L76)-(Model!$G$17*(1+OTCapPct)*(Cap_Tech*$C76*(1-$I76)))),MAX(0,$L76-((BedsCurrent+BedsAdded)*ShiftHours*$F76/BedHr_N)),MAX(0,$L76*Acuity_N-(ImgBase+ImgExpOn*ImgExpAdd)),MAX(0,$L76-(LabBase+LabExpOn*LabExpAdd)))</f>
        <v>3.1329800834853785</v>
      </c>
      <c r="P76" s="11">
        <f t="shared" ca="1" si="23"/>
        <v>28.126705187842106</v>
      </c>
      <c r="Q76" s="17">
        <f ca="1">((MIN(OTCapPct*Model!$G$24,MAX(0,(($J76*(1+0.5*Acuity_M))/(Cap_Doc*$C76*(1-$G76)))-Model!$G$24)))*OTCost_Doc)+((MIN(OTCapPct*Model!$G$6,MAX(0,(($J76)/(Cap_Nurse*$C76*(1-$H76)))-Model!$G$6)))*OTCost_Nurse)+((MIN(OTCapPct*Model!$G$15,MAX(0,(($J76)/(Cap_Tech*$C76*(1-$I76)))-Model!$G$15)))*OTCost_Tech)+((MIN(OTCapPct*Model!$G$25,MAX(0,(($K76*(1+0.5*Acuity_E))/(Cap_Doc*$C76*(1-$G76)))-Model!$G$25)))*OTCost_Doc)+((MIN(OTCapPct*Model!$G$7,MAX(0,(($K76)/(Cap_Nurse*$C76*(1-$H76)))-Model!$G$7)))*OTCost_Nurse)+((MIN(OTCapPct*Model!$G$16,MAX(0,(($K76)/(Cap_Tech*$C76*(1-$I76)))-Model!$G$16)))*OTCost_Tech)+((MIN(OTCapPct*Model!$G$26,MAX(0,(($L76*(1+0.5*Acuity_N))/(Cap_Doc*$C76*(1-$G76)))-Model!$G$26)))*OTCost_Doc)+((MIN(OTCapPct*Model!$G$8,MAX(0,(($L76)/(Cap_Nurse*$C76*(1-$H76)))-Model!$G$8)))*OTCost_Nurse)+((MIN(OTCapPct*Model!$G$17,MAX(0,(($L76)/(Cap_Tech*$C76*(1-$I76)))-Model!$G$17)))*OTCost_Tech)</f>
        <v>65752.092022172408</v>
      </c>
    </row>
    <row r="77" spans="1:17" x14ac:dyDescent="0.25">
      <c r="A77" s="11">
        <v>73</v>
      </c>
      <c r="B77" s="11" t="str">
        <f t="shared" ca="1" si="12"/>
        <v>Severe</v>
      </c>
      <c r="C77" s="11">
        <f t="shared" ca="1" si="13"/>
        <v>0.8</v>
      </c>
      <c r="D77" s="11">
        <f t="shared" ca="1" si="14"/>
        <v>0</v>
      </c>
      <c r="E77" s="11">
        <f t="shared" ca="1" si="15"/>
        <v>1</v>
      </c>
      <c r="F77" s="36">
        <f t="shared" ca="1" si="16"/>
        <v>1.0384120709621114</v>
      </c>
      <c r="G77" s="11">
        <f t="shared" ca="1" si="17"/>
        <v>0</v>
      </c>
      <c r="H77" s="11">
        <f t="shared" ca="1" si="18"/>
        <v>6.2056744824441283E-2</v>
      </c>
      <c r="I77" s="11">
        <f t="shared" ca="1" si="19"/>
        <v>9.572344822999139E-2</v>
      </c>
      <c r="J77" s="11">
        <f t="shared" ca="1" si="20"/>
        <v>60</v>
      </c>
      <c r="K77" s="11">
        <f t="shared" ca="1" si="21"/>
        <v>127</v>
      </c>
      <c r="L77" s="11">
        <f t="shared" ca="1" si="22"/>
        <v>75</v>
      </c>
      <c r="M77" s="11">
        <f ca="1">MAX(MAX(0,($J77*(1+0.5*Acuity_M))-(Model!$G$24*(1+OTCapPct)*(Cap_Doc*$C77*(1-$G77)))),MAX(0,($J77)-(Model!$G$6*(1+OTCapPct)*(Cap_Nurse*$C77*(1-$H77)))),MAX(0,($J77)-(Model!$G$15*(1+OTCapPct)*(Cap_Tech*$C77*(1-$I77)))),MAX(0,$J77-((BedsCurrent+BedsAdded)*ShiftHours*$F77/BedHr_M)),MAX(0,$J77*Acuity_M-(ImgBase+ImgExpOn*ImgExpAdd)),MAX(0,$J77-(LabBase+LabExpOn*LabExpAdd)))</f>
        <v>0</v>
      </c>
      <c r="N77" s="11">
        <f ca="1">MAX(MAX(0,($K77*(1+0.5*Acuity_E))-(Model!$G$25*(1+OTCapPct)*(Cap_Doc*$C77*(1-$G77)))),MAX(0,($K77)-(Model!$G$7*(1+OTCapPct)*(Cap_Nurse*$C77*(1-$H77)))),MAX(0,($K77)-(Model!$G$16*(1+OTCapPct)*(Cap_Tech*$C77*(1-$I77)))),MAX(0,$K77-((BedsCurrent+BedsAdded)*ShiftHours*$F77/BedHr_E)),MAX(0,$K77*Acuity_E-(ImgBase+ImgExpOn*ImgExpAdd)),MAX(0,$K77-(LabBase+LabExpOn*LabExpAdd)))</f>
        <v>32</v>
      </c>
      <c r="O77" s="11">
        <f ca="1">MAX(MAX(0,($L77*(1+0.5*Acuity_N))-(Model!$G$26*(1+OTCapPct)*(Cap_Doc*$C77*(1-$G77)))),MAX(0,($L77)-(Model!$G$8*(1+OTCapPct)*(Cap_Nurse*$C77*(1-$H77)))),MAX(0,($L77)-(Model!$G$17*(1+OTCapPct)*(Cap_Tech*$C77*(1-$I77)))),MAX(0,$L77-((BedsCurrent+BedsAdded)*ShiftHours*$F77/BedHr_N)),MAX(0,$L77*Acuity_N-(ImgBase+ImgExpOn*ImgExpAdd)),MAX(0,$L77-(LabBase+LabExpOn*LabExpAdd)))</f>
        <v>14.25</v>
      </c>
      <c r="P77" s="11">
        <f t="shared" ca="1" si="23"/>
        <v>46.25</v>
      </c>
      <c r="Q77" s="17">
        <f ca="1">((MIN(OTCapPct*Model!$G$24,MAX(0,(($J77*(1+0.5*Acuity_M))/(Cap_Doc*$C77*(1-$G77)))-Model!$G$24)))*OTCost_Doc)+((MIN(OTCapPct*Model!$G$6,MAX(0,(($J77)/(Cap_Nurse*$C77*(1-$H77)))-Model!$G$6)))*OTCost_Nurse)+((MIN(OTCapPct*Model!$G$15,MAX(0,(($J77)/(Cap_Tech*$C77*(1-$I77)))-Model!$G$15)))*OTCost_Tech)+((MIN(OTCapPct*Model!$G$25,MAX(0,(($K77*(1+0.5*Acuity_E))/(Cap_Doc*$C77*(1-$G77)))-Model!$G$25)))*OTCost_Doc)+((MIN(OTCapPct*Model!$G$7,MAX(0,(($K77)/(Cap_Nurse*$C77*(1-$H77)))-Model!$G$7)))*OTCost_Nurse)+((MIN(OTCapPct*Model!$G$16,MAX(0,(($K77)/(Cap_Tech*$C77*(1-$I77)))-Model!$G$16)))*OTCost_Tech)+((MIN(OTCapPct*Model!$G$26,MAX(0,(($L77*(1+0.5*Acuity_N))/(Cap_Doc*$C77*(1-$G77)))-Model!$G$26)))*OTCost_Doc)+((MIN(OTCapPct*Model!$G$8,MAX(0,(($L77)/(Cap_Nurse*$C77*(1-$H77)))-Model!$G$8)))*OTCost_Nurse)+((MIN(OTCapPct*Model!$G$17,MAX(0,(($L77)/(Cap_Tech*$C77*(1-$I77)))-Model!$G$17)))*OTCost_Tech)</f>
        <v>70404.006040150009</v>
      </c>
    </row>
    <row r="78" spans="1:17" x14ac:dyDescent="0.25">
      <c r="A78" s="11">
        <v>74</v>
      </c>
      <c r="B78" s="11" t="str">
        <f t="shared" ca="1" si="12"/>
        <v>Normal</v>
      </c>
      <c r="C78" s="11">
        <f t="shared" ca="1" si="13"/>
        <v>1</v>
      </c>
      <c r="D78" s="11">
        <f t="shared" ca="1" si="14"/>
        <v>0</v>
      </c>
      <c r="E78" s="11">
        <f t="shared" ca="1" si="15"/>
        <v>2</v>
      </c>
      <c r="F78" s="36">
        <f t="shared" ca="1" si="16"/>
        <v>0.83351020459468805</v>
      </c>
      <c r="G78" s="11">
        <f t="shared" ca="1" si="17"/>
        <v>1.4516465292169125E-2</v>
      </c>
      <c r="H78" s="11">
        <f t="shared" ca="1" si="18"/>
        <v>7.2729851661884365E-2</v>
      </c>
      <c r="I78" s="11">
        <f t="shared" ca="1" si="19"/>
        <v>0.16785213746963246</v>
      </c>
      <c r="J78" s="11">
        <f t="shared" ca="1" si="20"/>
        <v>87</v>
      </c>
      <c r="K78" s="11">
        <f t="shared" ca="1" si="21"/>
        <v>144</v>
      </c>
      <c r="L78" s="11">
        <f t="shared" ca="1" si="22"/>
        <v>51</v>
      </c>
      <c r="M78" s="11">
        <f ca="1">MAX(MAX(0,($J78*(1+0.5*Acuity_M))-(Model!$G$24*(1+OTCapPct)*(Cap_Doc*$C78*(1-$G78)))),MAX(0,($J78)-(Model!$G$6*(1+OTCapPct)*(Cap_Nurse*$C78*(1-$H78)))),MAX(0,($J78)-(Model!$G$15*(1+OTCapPct)*(Cap_Tech*$C78*(1-$I78)))),MAX(0,$J78-((BedsCurrent+BedsAdded)*ShiftHours*$F78/BedHr_M)),MAX(0,$J78*Acuity_M-(ImgBase+ImgExpOn*ImgExpAdd)),MAX(0,$J78-(LabBase+LabExpOn*LabExpAdd)))</f>
        <v>0</v>
      </c>
      <c r="N78" s="11">
        <f ca="1">MAX(MAX(0,($K78*(1+0.5*Acuity_E))-(Model!$G$25*(1+OTCapPct)*(Cap_Doc*$C78*(1-$G78)))),MAX(0,($K78)-(Model!$G$7*(1+OTCapPct)*(Cap_Nurse*$C78*(1-$H78)))),MAX(0,($K78)-(Model!$G$16*(1+OTCapPct)*(Cap_Tech*$C78*(1-$I78)))),MAX(0,$K78-((BedsCurrent+BedsAdded)*ShiftHours*$F78/BedHr_E)),MAX(0,$K78*Acuity_E-(ImgBase+ImgExpOn*ImgExpAdd)),MAX(0,$K78-(LabBase+LabExpOn*LabExpAdd)))</f>
        <v>53.314089740097941</v>
      </c>
      <c r="O78" s="11">
        <f ca="1">MAX(MAX(0,($L78*(1+0.5*Acuity_N))-(Model!$G$26*(1+OTCapPct)*(Cap_Doc*$C78*(1-$G78)))),MAX(0,($L78)-(Model!$G$8*(1+OTCapPct)*(Cap_Nurse*$C78*(1-$H78)))),MAX(0,($L78)-(Model!$G$17*(1+OTCapPct)*(Cap_Tech*$C78*(1-$I78)))),MAX(0,$L78-((BedsCurrent+BedsAdded)*ShiftHours*$F78/BedHr_N)),MAX(0,$L78*Acuity_N-(ImgBase+ImgExpOn*ImgExpAdd)),MAX(0,$L78-(LabBase+LabExpOn*LabExpAdd)))</f>
        <v>0</v>
      </c>
      <c r="P78" s="11">
        <f t="shared" ca="1" si="23"/>
        <v>53.314089740097941</v>
      </c>
      <c r="Q78" s="17">
        <f ca="1">((MIN(OTCapPct*Model!$G$24,MAX(0,(($J78*(1+0.5*Acuity_M))/(Cap_Doc*$C78*(1-$G78)))-Model!$G$24)))*OTCost_Doc)+((MIN(OTCapPct*Model!$G$6,MAX(0,(($J78)/(Cap_Nurse*$C78*(1-$H78)))-Model!$G$6)))*OTCost_Nurse)+((MIN(OTCapPct*Model!$G$15,MAX(0,(($J78)/(Cap_Tech*$C78*(1-$I78)))-Model!$G$15)))*OTCost_Tech)+((MIN(OTCapPct*Model!$G$25,MAX(0,(($K78*(1+0.5*Acuity_E))/(Cap_Doc*$C78*(1-$G78)))-Model!$G$25)))*OTCost_Doc)+((MIN(OTCapPct*Model!$G$7,MAX(0,(($K78)/(Cap_Nurse*$C78*(1-$H78)))-Model!$G$7)))*OTCost_Nurse)+((MIN(OTCapPct*Model!$G$16,MAX(0,(($K78)/(Cap_Tech*$C78*(1-$I78)))-Model!$G$16)))*OTCost_Tech)+((MIN(OTCapPct*Model!$G$26,MAX(0,(($L78*(1+0.5*Acuity_N))/(Cap_Doc*$C78*(1-$G78)))-Model!$G$26)))*OTCost_Doc)+((MIN(OTCapPct*Model!$G$8,MAX(0,(($L78)/(Cap_Nurse*$C78*(1-$H78)))-Model!$G$8)))*OTCost_Nurse)+((MIN(OTCapPct*Model!$G$17,MAX(0,(($L78)/(Cap_Tech*$C78*(1-$I78)))-Model!$G$17)))*OTCost_Tech)</f>
        <v>58615.386264364832</v>
      </c>
    </row>
    <row r="79" spans="1:17" x14ac:dyDescent="0.25">
      <c r="A79" s="11">
        <v>75</v>
      </c>
      <c r="B79" s="11" t="str">
        <f t="shared" ca="1" si="12"/>
        <v>Complex</v>
      </c>
      <c r="C79" s="11">
        <f t="shared" ca="1" si="13"/>
        <v>0.9</v>
      </c>
      <c r="D79" s="11">
        <f t="shared" ca="1" si="14"/>
        <v>0</v>
      </c>
      <c r="E79" s="11">
        <f t="shared" ca="1" si="15"/>
        <v>2</v>
      </c>
      <c r="F79" s="36">
        <f t="shared" ca="1" si="16"/>
        <v>1.0178509288003359</v>
      </c>
      <c r="G79" s="11">
        <f t="shared" ca="1" si="17"/>
        <v>3.5417426478078169E-2</v>
      </c>
      <c r="H79" s="11">
        <f t="shared" ca="1" si="18"/>
        <v>0.16477004649017277</v>
      </c>
      <c r="I79" s="11">
        <f t="shared" ca="1" si="19"/>
        <v>4.546025053113939E-3</v>
      </c>
      <c r="J79" s="11">
        <f t="shared" ca="1" si="20"/>
        <v>99</v>
      </c>
      <c r="K79" s="11">
        <f t="shared" ca="1" si="21"/>
        <v>114</v>
      </c>
      <c r="L79" s="11">
        <f t="shared" ca="1" si="22"/>
        <v>69</v>
      </c>
      <c r="M79" s="11">
        <f ca="1">MAX(MAX(0,($J79*(1+0.5*Acuity_M))-(Model!$G$24*(1+OTCapPct)*(Cap_Doc*$C79*(1-$G79)))),MAX(0,($J79)-(Model!$G$6*(1+OTCapPct)*(Cap_Nurse*$C79*(1-$H79)))),MAX(0,($J79)-(Model!$G$15*(1+OTCapPct)*(Cap_Tech*$C79*(1-$I79)))),MAX(0,$J79-((BedsCurrent+BedsAdded)*ShiftHours*$F79/BedHr_M)),MAX(0,$J79*Acuity_M-(ImgBase+ImgExpOn*ImgExpAdd)),MAX(0,$J79-(LabBase+LabExpOn*LabExpAdd)))</f>
        <v>20.070769393321328</v>
      </c>
      <c r="N79" s="11">
        <f ca="1">MAX(MAX(0,($K79*(1+0.5*Acuity_E))-(Model!$G$25*(1+OTCapPct)*(Cap_Doc*$C79*(1-$G79)))),MAX(0,($K79)-(Model!$G$7*(1+OTCapPct)*(Cap_Nurse*$C79*(1-$H79)))),MAX(0,($K79)-(Model!$G$16*(1+OTCapPct)*(Cap_Tech*$C79*(1-$I79)))),MAX(0,$K79-((BedsCurrent+BedsAdded)*ShiftHours*$F79/BedHr_E)),MAX(0,$K79*Acuity_E-(ImgBase+ImgExpOn*ImgExpAdd)),MAX(0,$K79-(LabBase+LabExpOn*LabExpAdd)))</f>
        <v>19</v>
      </c>
      <c r="O79" s="11">
        <f ca="1">MAX(MAX(0,($L79*(1+0.5*Acuity_N))-(Model!$G$26*(1+OTCapPct)*(Cap_Doc*$C79*(1-$G79)))),MAX(0,($L79)-(Model!$G$8*(1+OTCapPct)*(Cap_Nurse*$C79*(1-$H79)))),MAX(0,($L79)-(Model!$G$17*(1+OTCapPct)*(Cap_Tech*$C79*(1-$I79)))),MAX(0,$L79-((BedsCurrent+BedsAdded)*ShiftHours*$F79/BedHr_N)),MAX(0,$L79*Acuity_N-(ImgBase+ImgExpOn*ImgExpAdd)),MAX(0,$L79-(LabBase+LabExpOn*LabExpAdd)))</f>
        <v>1.3463737657039871</v>
      </c>
      <c r="P79" s="11">
        <f t="shared" ca="1" si="23"/>
        <v>40.417143159025315</v>
      </c>
      <c r="Q79" s="17">
        <f ca="1">((MIN(OTCapPct*Model!$G$24,MAX(0,(($J79*(1+0.5*Acuity_M))/(Cap_Doc*$C79*(1-$G79)))-Model!$G$24)))*OTCost_Doc)+((MIN(OTCapPct*Model!$G$6,MAX(0,(($J79)/(Cap_Nurse*$C79*(1-$H79)))-Model!$G$6)))*OTCost_Nurse)+((MIN(OTCapPct*Model!$G$15,MAX(0,(($J79)/(Cap_Tech*$C79*(1-$I79)))-Model!$G$15)))*OTCost_Tech)+((MIN(OTCapPct*Model!$G$25,MAX(0,(($K79*(1+0.5*Acuity_E))/(Cap_Doc*$C79*(1-$G79)))-Model!$G$25)))*OTCost_Doc)+((MIN(OTCapPct*Model!$G$7,MAX(0,(($K79)/(Cap_Nurse*$C79*(1-$H79)))-Model!$G$7)))*OTCost_Nurse)+((MIN(OTCapPct*Model!$G$16,MAX(0,(($K79)/(Cap_Tech*$C79*(1-$I79)))-Model!$G$16)))*OTCost_Tech)+((MIN(OTCapPct*Model!$G$26,MAX(0,(($L79*(1+0.5*Acuity_N))/(Cap_Doc*$C79*(1-$G79)))-Model!$G$26)))*OTCost_Doc)+((MIN(OTCapPct*Model!$G$8,MAX(0,(($L79)/(Cap_Nurse*$C79*(1-$H79)))-Model!$G$8)))*OTCost_Nurse)+((MIN(OTCapPct*Model!$G$17,MAX(0,(($L79)/(Cap_Tech*$C79*(1-$I79)))-Model!$G$17)))*OTCost_Tech)</f>
        <v>90151.125096928663</v>
      </c>
    </row>
    <row r="80" spans="1:17" x14ac:dyDescent="0.25">
      <c r="A80" s="11">
        <v>76</v>
      </c>
      <c r="B80" s="11" t="str">
        <f t="shared" ca="1" si="12"/>
        <v>Normal</v>
      </c>
      <c r="C80" s="11">
        <f t="shared" ca="1" si="13"/>
        <v>1</v>
      </c>
      <c r="D80" s="11">
        <f t="shared" ca="1" si="14"/>
        <v>0</v>
      </c>
      <c r="E80" s="11">
        <f t="shared" ca="1" si="15"/>
        <v>2</v>
      </c>
      <c r="F80" s="36">
        <f t="shared" ca="1" si="16"/>
        <v>0.84910168160367672</v>
      </c>
      <c r="G80" s="11">
        <f t="shared" ca="1" si="17"/>
        <v>4.7392601706676057E-2</v>
      </c>
      <c r="H80" s="11">
        <f t="shared" ca="1" si="18"/>
        <v>7.9329941626878481E-2</v>
      </c>
      <c r="I80" s="11">
        <f t="shared" ca="1" si="19"/>
        <v>4.3480196493129321E-2</v>
      </c>
      <c r="J80" s="11">
        <f t="shared" ca="1" si="20"/>
        <v>64</v>
      </c>
      <c r="K80" s="11">
        <f t="shared" ca="1" si="21"/>
        <v>109</v>
      </c>
      <c r="L80" s="11">
        <f t="shared" ca="1" si="22"/>
        <v>47</v>
      </c>
      <c r="M80" s="11">
        <f ca="1">MAX(MAX(0,($J80*(1+0.5*Acuity_M))-(Model!$G$24*(1+OTCapPct)*(Cap_Doc*$C80*(1-$G80)))),MAX(0,($J80)-(Model!$G$6*(1+OTCapPct)*(Cap_Nurse*$C80*(1-$H80)))),MAX(0,($J80)-(Model!$G$15*(1+OTCapPct)*(Cap_Tech*$C80*(1-$I80)))),MAX(0,$J80-((BedsCurrent+BedsAdded)*ShiftHours*$F80/BedHr_M)),MAX(0,$J80*Acuity_M-(ImgBase+ImgExpOn*ImgExpAdd)),MAX(0,$J80-(LabBase+LabExpOn*LabExpAdd)))</f>
        <v>0</v>
      </c>
      <c r="N80" s="11">
        <f ca="1">MAX(MAX(0,($K80*(1+0.5*Acuity_E))-(Model!$G$25*(1+OTCapPct)*(Cap_Doc*$C80*(1-$G80)))),MAX(0,($K80)-(Model!$G$7*(1+OTCapPct)*(Cap_Nurse*$C80*(1-$H80)))),MAX(0,($K80)-(Model!$G$16*(1+OTCapPct)*(Cap_Tech*$C80*(1-$I80)))),MAX(0,$K80-((BedsCurrent+BedsAdded)*ShiftHours*$F80/BedHr_E)),MAX(0,$K80*Acuity_E-(ImgBase+ImgExpOn*ImgExpAdd)),MAX(0,$K80-(LabBase+LabExpOn*LabExpAdd)))</f>
        <v>16.617737041519973</v>
      </c>
      <c r="O80" s="11">
        <f ca="1">MAX(MAX(0,($L80*(1+0.5*Acuity_N))-(Model!$G$26*(1+OTCapPct)*(Cap_Doc*$C80*(1-$G80)))),MAX(0,($L80)-(Model!$G$8*(1+OTCapPct)*(Cap_Nurse*$C80*(1-$H80)))),MAX(0,($L80)-(Model!$G$17*(1+OTCapPct)*(Cap_Tech*$C80*(1-$I80)))),MAX(0,$L80-((BedsCurrent+BedsAdded)*ShiftHours*$F80/BedHr_N)),MAX(0,$L80*Acuity_N-(ImgBase+ImgExpOn*ImgExpAdd)),MAX(0,$L80-(LabBase+LabExpOn*LabExpAdd)))</f>
        <v>0</v>
      </c>
      <c r="P80" s="11">
        <f t="shared" ca="1" si="23"/>
        <v>16.617737041519973</v>
      </c>
      <c r="Q80" s="17">
        <f ca="1">((MIN(OTCapPct*Model!$G$24,MAX(0,(($J80*(1+0.5*Acuity_M))/(Cap_Doc*$C80*(1-$G80)))-Model!$G$24)))*OTCost_Doc)+((MIN(OTCapPct*Model!$G$6,MAX(0,(($J80)/(Cap_Nurse*$C80*(1-$H80)))-Model!$G$6)))*OTCost_Nurse)+((MIN(OTCapPct*Model!$G$15,MAX(0,(($J80)/(Cap_Tech*$C80*(1-$I80)))-Model!$G$15)))*OTCost_Tech)+((MIN(OTCapPct*Model!$G$25,MAX(0,(($K80*(1+0.5*Acuity_E))/(Cap_Doc*$C80*(1-$G80)))-Model!$G$25)))*OTCost_Doc)+((MIN(OTCapPct*Model!$G$7,MAX(0,(($K80)/(Cap_Nurse*$C80*(1-$H80)))-Model!$G$7)))*OTCost_Nurse)+((MIN(OTCapPct*Model!$G$16,MAX(0,(($K80)/(Cap_Tech*$C80*(1-$I80)))-Model!$G$16)))*OTCost_Tech)+((MIN(OTCapPct*Model!$G$26,MAX(0,(($L80*(1+0.5*Acuity_N))/(Cap_Doc*$C80*(1-$G80)))-Model!$G$26)))*OTCost_Doc)+((MIN(OTCapPct*Model!$G$8,MAX(0,(($L80)/(Cap_Nurse*$C80*(1-$H80)))-Model!$G$8)))*OTCost_Nurse)+((MIN(OTCapPct*Model!$G$17,MAX(0,(($L80)/(Cap_Tech*$C80*(1-$I80)))-Model!$G$17)))*OTCost_Tech)</f>
        <v>3331.488782227264</v>
      </c>
    </row>
    <row r="81" spans="1:17" x14ac:dyDescent="0.25">
      <c r="A81" s="11">
        <v>77</v>
      </c>
      <c r="B81" s="11" t="str">
        <f t="shared" ca="1" si="12"/>
        <v>Complex</v>
      </c>
      <c r="C81" s="11">
        <f t="shared" ca="1" si="13"/>
        <v>0.9</v>
      </c>
      <c r="D81" s="11">
        <f t="shared" ca="1" si="14"/>
        <v>0</v>
      </c>
      <c r="E81" s="11">
        <f t="shared" ca="1" si="15"/>
        <v>3</v>
      </c>
      <c r="F81" s="36">
        <f t="shared" ca="1" si="16"/>
        <v>1.0198446721187184</v>
      </c>
      <c r="G81" s="11">
        <f t="shared" ca="1" si="17"/>
        <v>0</v>
      </c>
      <c r="H81" s="11">
        <f t="shared" ca="1" si="18"/>
        <v>4.7825819391685773E-3</v>
      </c>
      <c r="I81" s="11">
        <f t="shared" ca="1" si="19"/>
        <v>0</v>
      </c>
      <c r="J81" s="11">
        <f t="shared" ca="1" si="20"/>
        <v>95</v>
      </c>
      <c r="K81" s="11">
        <f t="shared" ca="1" si="21"/>
        <v>137</v>
      </c>
      <c r="L81" s="11">
        <f t="shared" ca="1" si="22"/>
        <v>66</v>
      </c>
      <c r="M81" s="11">
        <f ca="1">MAX(MAX(0,($J81*(1+0.5*Acuity_M))-(Model!$G$24*(1+OTCapPct)*(Cap_Doc*$C81*(1-$G81)))),MAX(0,($J81)-(Model!$G$6*(1+OTCapPct)*(Cap_Nurse*$C81*(1-$H81)))),MAX(0,($J81)-(Model!$G$15*(1+OTCapPct)*(Cap_Tech*$C81*(1-$I81)))),MAX(0,$J81-((BedsCurrent+BedsAdded)*ShiftHours*$F81/BedHr_M)),MAX(0,$J81*Acuity_M-(ImgBase+ImgExpOn*ImgExpAdd)),MAX(0,$J81-(LabBase+LabExpOn*LabExpAdd)))</f>
        <v>4.2000000000000028</v>
      </c>
      <c r="N81" s="11">
        <f ca="1">MAX(MAX(0,($K81*(1+0.5*Acuity_E))-(Model!$G$25*(1+OTCapPct)*(Cap_Doc*$C81*(1-$G81)))),MAX(0,($K81)-(Model!$G$7*(1+OTCapPct)*(Cap_Nurse*$C81*(1-$H81)))),MAX(0,($K81)-(Model!$G$16*(1+OTCapPct)*(Cap_Tech*$C81*(1-$I81)))),MAX(0,$K81-((BedsCurrent+BedsAdded)*ShiftHours*$F81/BedHr_E)),MAX(0,$K81*Acuity_E-(ImgBase+ImgExpOn*ImgExpAdd)),MAX(0,$K81-(LabBase+LabExpOn*LabExpAdd)))</f>
        <v>42</v>
      </c>
      <c r="O81" s="11">
        <f ca="1">MAX(MAX(0,($L81*(1+0.5*Acuity_N))-(Model!$G$26*(1+OTCapPct)*(Cap_Doc*$C81*(1-$G81)))),MAX(0,($L81)-(Model!$G$8*(1+OTCapPct)*(Cap_Nurse*$C81*(1-$H81)))),MAX(0,($L81)-(Model!$G$17*(1+OTCapPct)*(Cap_Tech*$C81*(1-$I81)))),MAX(0,$L81-((BedsCurrent+BedsAdded)*ShiftHours*$F81/BedHr_N)),MAX(0,$L81*Acuity_N-(ImgBase+ImgExpOn*ImgExpAdd)),MAX(0,$L81-(LabBase+LabExpOn*LabExpAdd)))</f>
        <v>0</v>
      </c>
      <c r="P81" s="11">
        <f t="shared" ca="1" si="23"/>
        <v>46.2</v>
      </c>
      <c r="Q81" s="17">
        <f ca="1">((MIN(OTCapPct*Model!$G$24,MAX(0,(($J81*(1+0.5*Acuity_M))/(Cap_Doc*$C81*(1-$G81)))-Model!$G$24)))*OTCost_Doc)+((MIN(OTCapPct*Model!$G$6,MAX(0,(($J81)/(Cap_Nurse*$C81*(1-$H81)))-Model!$G$6)))*OTCost_Nurse)+((MIN(OTCapPct*Model!$G$15,MAX(0,(($J81)/(Cap_Tech*$C81*(1-$I81)))-Model!$G$15)))*OTCost_Tech)+((MIN(OTCapPct*Model!$G$25,MAX(0,(($K81*(1+0.5*Acuity_E))/(Cap_Doc*$C81*(1-$G81)))-Model!$G$25)))*OTCost_Doc)+((MIN(OTCapPct*Model!$G$7,MAX(0,(($K81)/(Cap_Nurse*$C81*(1-$H81)))-Model!$G$7)))*OTCost_Nurse)+((MIN(OTCapPct*Model!$G$16,MAX(0,(($K81)/(Cap_Tech*$C81*(1-$I81)))-Model!$G$16)))*OTCost_Tech)+((MIN(OTCapPct*Model!$G$26,MAX(0,(($L81*(1+0.5*Acuity_N))/(Cap_Doc*$C81*(1-$G81)))-Model!$G$26)))*OTCost_Doc)+((MIN(OTCapPct*Model!$G$8,MAX(0,(($L81)/(Cap_Nurse*$C81*(1-$H81)))-Model!$G$8)))*OTCost_Nurse)+((MIN(OTCapPct*Model!$G$17,MAX(0,(($L81)/(Cap_Tech*$C81*(1-$I81)))-Model!$G$17)))*OTCost_Tech)</f>
        <v>85880.702533554504</v>
      </c>
    </row>
    <row r="82" spans="1:17" x14ac:dyDescent="0.25">
      <c r="A82" s="11">
        <v>78</v>
      </c>
      <c r="B82" s="11" t="str">
        <f t="shared" ca="1" si="12"/>
        <v>Normal</v>
      </c>
      <c r="C82" s="11">
        <f t="shared" ca="1" si="13"/>
        <v>1</v>
      </c>
      <c r="D82" s="11">
        <f t="shared" ca="1" si="14"/>
        <v>1</v>
      </c>
      <c r="E82" s="11">
        <f t="shared" ca="1" si="15"/>
        <v>3</v>
      </c>
      <c r="F82" s="36">
        <f t="shared" ca="1" si="16"/>
        <v>0.91573972958174221</v>
      </c>
      <c r="G82" s="11">
        <f t="shared" ca="1" si="17"/>
        <v>2.5878744729839542E-2</v>
      </c>
      <c r="H82" s="11">
        <f t="shared" ca="1" si="18"/>
        <v>1.8728662786922416E-2</v>
      </c>
      <c r="I82" s="11">
        <f t="shared" ca="1" si="19"/>
        <v>1.7524602171821911E-2</v>
      </c>
      <c r="J82" s="11">
        <f t="shared" ca="1" si="20"/>
        <v>78</v>
      </c>
      <c r="K82" s="11">
        <f t="shared" ca="1" si="21"/>
        <v>124</v>
      </c>
      <c r="L82" s="11">
        <f t="shared" ca="1" si="22"/>
        <v>84</v>
      </c>
      <c r="M82" s="11">
        <f ca="1">MAX(MAX(0,($J82*(1+0.5*Acuity_M))-(Model!$G$24*(1+OTCapPct)*(Cap_Doc*$C82*(1-$G82)))),MAX(0,($J82)-(Model!$G$6*(1+OTCapPct)*(Cap_Nurse*$C82*(1-$H82)))),MAX(0,($J82)-(Model!$G$15*(1+OTCapPct)*(Cap_Tech*$C82*(1-$I82)))),MAX(0,$J82-((BedsCurrent+BedsAdded)*ShiftHours*$F82/BedHr_M)),MAX(0,$J82*Acuity_M-(ImgBase+ImgExpOn*ImgExpAdd)),MAX(0,$J82-(LabBase+LabExpOn*LabExpAdd)))</f>
        <v>0</v>
      </c>
      <c r="N82" s="11">
        <f ca="1">MAX(MAX(0,($K82*(1+0.5*Acuity_E))-(Model!$G$25*(1+OTCapPct)*(Cap_Doc*$C82*(1-$G82)))),MAX(0,($K82)-(Model!$G$7*(1+OTCapPct)*(Cap_Nurse*$C82*(1-$H82)))),MAX(0,($K82)-(Model!$G$16*(1+OTCapPct)*(Cap_Tech*$C82*(1-$I82)))),MAX(0,$K82-((BedsCurrent+BedsAdded)*ShiftHours*$F82/BedHr_E)),MAX(0,$K82*Acuity_E-(ImgBase+ImgExpOn*ImgExpAdd)),MAX(0,$K82-(LabBase+LabExpOn*LabExpAdd)))</f>
        <v>29</v>
      </c>
      <c r="O82" s="11">
        <f ca="1">MAX(MAX(0,($L82*(1+0.5*Acuity_N))-(Model!$G$26*(1+OTCapPct)*(Cap_Doc*$C82*(1-$G82)))),MAX(0,($L82)-(Model!$G$8*(1+OTCapPct)*(Cap_Nurse*$C82*(1-$H82)))),MAX(0,($L82)-(Model!$G$17*(1+OTCapPct)*(Cap_Tech*$C82*(1-$I82)))),MAX(0,$L82-((BedsCurrent+BedsAdded)*ShiftHours*$F82/BedHr_N)),MAX(0,$L82*Acuity_N-(ImgBase+ImgExpOn*ImgExpAdd)),MAX(0,$L82-(LabBase+LabExpOn*LabExpAdd)))</f>
        <v>8.9290870256855612</v>
      </c>
      <c r="P82" s="11">
        <f t="shared" ca="1" si="23"/>
        <v>37.929087025685561</v>
      </c>
      <c r="Q82" s="17">
        <f ca="1">((MIN(OTCapPct*Model!$G$24,MAX(0,(($J82*(1+0.5*Acuity_M))/(Cap_Doc*$C82*(1-$G82)))-Model!$G$24)))*OTCost_Doc)+((MIN(OTCapPct*Model!$G$6,MAX(0,(($J82)/(Cap_Nurse*$C82*(1-$H82)))-Model!$G$6)))*OTCost_Nurse)+((MIN(OTCapPct*Model!$G$15,MAX(0,(($J82)/(Cap_Tech*$C82*(1-$I82)))-Model!$G$15)))*OTCost_Tech)+((MIN(OTCapPct*Model!$G$25,MAX(0,(($K82*(1+0.5*Acuity_E))/(Cap_Doc*$C82*(1-$G82)))-Model!$G$25)))*OTCost_Doc)+((MIN(OTCapPct*Model!$G$7,MAX(0,(($K82)/(Cap_Nurse*$C82*(1-$H82)))-Model!$G$7)))*OTCost_Nurse)+((MIN(OTCapPct*Model!$G$16,MAX(0,(($K82)/(Cap_Tech*$C82*(1-$I82)))-Model!$G$16)))*OTCost_Tech)+((MIN(OTCapPct*Model!$G$26,MAX(0,(($L82*(1+0.5*Acuity_N))/(Cap_Doc*$C82*(1-$G82)))-Model!$G$26)))*OTCost_Doc)+((MIN(OTCapPct*Model!$G$8,MAX(0,(($L82)/(Cap_Nurse*$C82*(1-$H82)))-Model!$G$8)))*OTCost_Nurse)+((MIN(OTCapPct*Model!$G$17,MAX(0,(($L82)/(Cap_Tech*$C82*(1-$I82)))-Model!$G$17)))*OTCost_Tech)</f>
        <v>39688.89156765458</v>
      </c>
    </row>
    <row r="83" spans="1:17" x14ac:dyDescent="0.25">
      <c r="A83" s="11">
        <v>79</v>
      </c>
      <c r="B83" s="11" t="str">
        <f t="shared" ca="1" si="12"/>
        <v>Complex</v>
      </c>
      <c r="C83" s="11">
        <f t="shared" ca="1" si="13"/>
        <v>0.9</v>
      </c>
      <c r="D83" s="11">
        <f t="shared" ca="1" si="14"/>
        <v>1</v>
      </c>
      <c r="E83" s="11">
        <f t="shared" ca="1" si="15"/>
        <v>2</v>
      </c>
      <c r="F83" s="36">
        <f t="shared" ca="1" si="16"/>
        <v>1.0601438372706511</v>
      </c>
      <c r="G83" s="11">
        <f t="shared" ca="1" si="17"/>
        <v>3.0884704313682614E-2</v>
      </c>
      <c r="H83" s="11">
        <f t="shared" ca="1" si="18"/>
        <v>5.2944297665568074E-2</v>
      </c>
      <c r="I83" s="11">
        <f t="shared" ca="1" si="19"/>
        <v>5.8805959388500306E-2</v>
      </c>
      <c r="J83" s="11">
        <f t="shared" ca="1" si="20"/>
        <v>70</v>
      </c>
      <c r="K83" s="11">
        <f t="shared" ca="1" si="21"/>
        <v>194</v>
      </c>
      <c r="L83" s="11">
        <f t="shared" ca="1" si="22"/>
        <v>77</v>
      </c>
      <c r="M83" s="11">
        <f ca="1">MAX(MAX(0,($J83*(1+0.5*Acuity_M))-(Model!$G$24*(1+OTCapPct)*(Cap_Doc*$C83*(1-$G83)))),MAX(0,($J83)-(Model!$G$6*(1+OTCapPct)*(Cap_Nurse*$C83*(1-$H83)))),MAX(0,($J83)-(Model!$G$15*(1+OTCapPct)*(Cap_Tech*$C83*(1-$I83)))),MAX(0,$J83-((BedsCurrent+BedsAdded)*ShiftHours*$F83/BedHr_M)),MAX(0,$J83*Acuity_M-(ImgBase+ImgExpOn*ImgExpAdd)),MAX(0,$J83-(LabBase+LabExpOn*LabExpAdd)))</f>
        <v>0</v>
      </c>
      <c r="N83" s="11">
        <f ca="1">MAX(MAX(0,($K83*(1+0.5*Acuity_E))-(Model!$G$25*(1+OTCapPct)*(Cap_Doc*$C83*(1-$G83)))),MAX(0,($K83)-(Model!$G$7*(1+OTCapPct)*(Cap_Nurse*$C83*(1-$H83)))),MAX(0,($K83)-(Model!$G$16*(1+OTCapPct)*(Cap_Tech*$C83*(1-$I83)))),MAX(0,$K83-((BedsCurrent+BedsAdded)*ShiftHours*$F83/BedHr_E)),MAX(0,$K83*Acuity_E-(ImgBase+ImgExpOn*ImgExpAdd)),MAX(0,$K83-(LabBase+LabExpOn*LabExpAdd)))</f>
        <v>99</v>
      </c>
      <c r="O83" s="11">
        <f ca="1">MAX(MAX(0,($L83*(1+0.5*Acuity_N))-(Model!$G$26*(1+OTCapPct)*(Cap_Doc*$C83*(1-$G83)))),MAX(0,($L83)-(Model!$G$8*(1+OTCapPct)*(Cap_Nurse*$C83*(1-$H83)))),MAX(0,($L83)-(Model!$G$17*(1+OTCapPct)*(Cap_Tech*$C83*(1-$I83)))),MAX(0,$L83-((BedsCurrent+BedsAdded)*ShiftHours*$F83/BedHr_N)),MAX(0,$L83*Acuity_N-(ImgBase+ImgExpOn*ImgExpAdd)),MAX(0,$L83-(LabBase+LabExpOn*LabExpAdd)))</f>
        <v>10.051661049408295</v>
      </c>
      <c r="P83" s="11">
        <f t="shared" ca="1" si="23"/>
        <v>109.0516610494083</v>
      </c>
      <c r="Q83" s="17">
        <f ca="1">((MIN(OTCapPct*Model!$G$24,MAX(0,(($J83*(1+0.5*Acuity_M))/(Cap_Doc*$C83*(1-$G83)))-Model!$G$24)))*OTCost_Doc)+((MIN(OTCapPct*Model!$G$6,MAX(0,(($J83)/(Cap_Nurse*$C83*(1-$H83)))-Model!$G$6)))*OTCost_Nurse)+((MIN(OTCapPct*Model!$G$15,MAX(0,(($J83)/(Cap_Tech*$C83*(1-$I83)))-Model!$G$15)))*OTCost_Tech)+((MIN(OTCapPct*Model!$G$25,MAX(0,(($K83*(1+0.5*Acuity_E))/(Cap_Doc*$C83*(1-$G83)))-Model!$G$25)))*OTCost_Doc)+((MIN(OTCapPct*Model!$G$7,MAX(0,(($K83)/(Cap_Nurse*$C83*(1-$H83)))-Model!$G$7)))*OTCost_Nurse)+((MIN(OTCapPct*Model!$G$16,MAX(0,(($K83)/(Cap_Tech*$C83*(1-$I83)))-Model!$G$16)))*OTCost_Tech)+((MIN(OTCapPct*Model!$G$26,MAX(0,(($L83*(1+0.5*Acuity_N))/(Cap_Doc*$C83*(1-$G83)))-Model!$G$26)))*OTCost_Doc)+((MIN(OTCapPct*Model!$G$8,MAX(0,(($L83)/(Cap_Nurse*$C83*(1-$H83)))-Model!$G$8)))*OTCost_Nurse)+((MIN(OTCapPct*Model!$G$17,MAX(0,(($L83)/(Cap_Tech*$C83*(1-$I83)))-Model!$G$17)))*OTCost_Tech)</f>
        <v>68275.180137131902</v>
      </c>
    </row>
    <row r="84" spans="1:17" x14ac:dyDescent="0.25">
      <c r="A84" s="11">
        <v>80</v>
      </c>
      <c r="B84" s="11" t="str">
        <f t="shared" ca="1" si="12"/>
        <v>Normal</v>
      </c>
      <c r="C84" s="11">
        <f t="shared" ca="1" si="13"/>
        <v>1</v>
      </c>
      <c r="D84" s="11">
        <f t="shared" ca="1" si="14"/>
        <v>0</v>
      </c>
      <c r="E84" s="11">
        <f t="shared" ca="1" si="15"/>
        <v>1</v>
      </c>
      <c r="F84" s="36">
        <f t="shared" ca="1" si="16"/>
        <v>1.1221173337879415</v>
      </c>
      <c r="G84" s="11">
        <f t="shared" ca="1" si="17"/>
        <v>0</v>
      </c>
      <c r="H84" s="11">
        <f t="shared" ca="1" si="18"/>
        <v>5.1814983388426453E-2</v>
      </c>
      <c r="I84" s="11">
        <f t="shared" ca="1" si="19"/>
        <v>2.5973069602805848E-2</v>
      </c>
      <c r="J84" s="11">
        <f t="shared" ca="1" si="20"/>
        <v>81</v>
      </c>
      <c r="K84" s="11">
        <f t="shared" ca="1" si="21"/>
        <v>122</v>
      </c>
      <c r="L84" s="11">
        <f t="shared" ca="1" si="22"/>
        <v>80</v>
      </c>
      <c r="M84" s="11">
        <f ca="1">MAX(MAX(0,($J84*(1+0.5*Acuity_M))-(Model!$G$24*(1+OTCapPct)*(Cap_Doc*$C84*(1-$G84)))),MAX(0,($J84)-(Model!$G$6*(1+OTCapPct)*(Cap_Nurse*$C84*(1-$H84)))),MAX(0,($J84)-(Model!$G$15*(1+OTCapPct)*(Cap_Tech*$C84*(1-$I84)))),MAX(0,$J84-((BedsCurrent+BedsAdded)*ShiftHours*$F84/BedHr_M)),MAX(0,$J84*Acuity_M-(ImgBase+ImgExpOn*ImgExpAdd)),MAX(0,$J84-(LabBase+LabExpOn*LabExpAdd)))</f>
        <v>0</v>
      </c>
      <c r="N84" s="11">
        <f ca="1">MAX(MAX(0,($K84*(1+0.5*Acuity_E))-(Model!$G$25*(1+OTCapPct)*(Cap_Doc*$C84*(1-$G84)))),MAX(0,($K84)-(Model!$G$7*(1+OTCapPct)*(Cap_Nurse*$C84*(1-$H84)))),MAX(0,($K84)-(Model!$G$16*(1+OTCapPct)*(Cap_Tech*$C84*(1-$I84)))),MAX(0,$K84-((BedsCurrent+BedsAdded)*ShiftHours*$F84/BedHr_E)),MAX(0,$K84*Acuity_E-(ImgBase+ImgExpOn*ImgExpAdd)),MAX(0,$K84-(LabBase+LabExpOn*LabExpAdd)))</f>
        <v>27</v>
      </c>
      <c r="O84" s="11">
        <f ca="1">MAX(MAX(0,($L84*(1+0.5*Acuity_N))-(Model!$G$26*(1+OTCapPct)*(Cap_Doc*$C84*(1-$G84)))),MAX(0,($L84)-(Model!$G$8*(1+OTCapPct)*(Cap_Nurse*$C84*(1-$H84)))),MAX(0,($L84)-(Model!$G$17*(1+OTCapPct)*(Cap_Tech*$C84*(1-$I84)))),MAX(0,$L84-((BedsCurrent+BedsAdded)*ShiftHours*$F84/BedHr_N)),MAX(0,$L84*Acuity_N-(ImgBase+ImgExpOn*ImgExpAdd)),MAX(0,$L84-(LabBase+LabExpOn*LabExpAdd)))</f>
        <v>2</v>
      </c>
      <c r="P84" s="11">
        <f t="shared" ca="1" si="23"/>
        <v>29</v>
      </c>
      <c r="Q84" s="17">
        <f ca="1">((MIN(OTCapPct*Model!$G$24,MAX(0,(($J84*(1+0.5*Acuity_M))/(Cap_Doc*$C84*(1-$G84)))-Model!$G$24)))*OTCost_Doc)+((MIN(OTCapPct*Model!$G$6,MAX(0,(($J84)/(Cap_Nurse*$C84*(1-$H84)))-Model!$G$6)))*OTCost_Nurse)+((MIN(OTCapPct*Model!$G$15,MAX(0,(($J84)/(Cap_Tech*$C84*(1-$I84)))-Model!$G$15)))*OTCost_Tech)+((MIN(OTCapPct*Model!$G$25,MAX(0,(($K84*(1+0.5*Acuity_E))/(Cap_Doc*$C84*(1-$G84)))-Model!$G$25)))*OTCost_Doc)+((MIN(OTCapPct*Model!$G$7,MAX(0,(($K84)/(Cap_Nurse*$C84*(1-$H84)))-Model!$G$7)))*OTCost_Nurse)+((MIN(OTCapPct*Model!$G$16,MAX(0,(($K84)/(Cap_Tech*$C84*(1-$I84)))-Model!$G$16)))*OTCost_Tech)+((MIN(OTCapPct*Model!$G$26,MAX(0,(($L84*(1+0.5*Acuity_N))/(Cap_Doc*$C84*(1-$G84)))-Model!$G$26)))*OTCost_Doc)+((MIN(OTCapPct*Model!$G$8,MAX(0,(($L84)/(Cap_Nurse*$C84*(1-$H84)))-Model!$G$8)))*OTCost_Nurse)+((MIN(OTCapPct*Model!$G$17,MAX(0,(($L84)/(Cap_Tech*$C84*(1-$I84)))-Model!$G$17)))*OTCost_Tech)</f>
        <v>36354.05331285367</v>
      </c>
    </row>
    <row r="85" spans="1:17" x14ac:dyDescent="0.25">
      <c r="A85" s="11">
        <v>81</v>
      </c>
      <c r="B85" s="11" t="str">
        <f t="shared" ca="1" si="12"/>
        <v>Severe</v>
      </c>
      <c r="C85" s="11">
        <f t="shared" ca="1" si="13"/>
        <v>0.8</v>
      </c>
      <c r="D85" s="11">
        <f t="shared" ca="1" si="14"/>
        <v>0</v>
      </c>
      <c r="E85" s="11">
        <f t="shared" ca="1" si="15"/>
        <v>2</v>
      </c>
      <c r="F85" s="36">
        <f t="shared" ca="1" si="16"/>
        <v>0.96365873831367199</v>
      </c>
      <c r="G85" s="11">
        <f t="shared" ca="1" si="17"/>
        <v>3.5595276708971155E-2</v>
      </c>
      <c r="H85" s="11">
        <f t="shared" ca="1" si="18"/>
        <v>3.1776317231403679E-2</v>
      </c>
      <c r="I85" s="11">
        <f t="shared" ca="1" si="19"/>
        <v>8.209677967753308E-2</v>
      </c>
      <c r="J85" s="11">
        <f t="shared" ca="1" si="20"/>
        <v>80</v>
      </c>
      <c r="K85" s="11">
        <f t="shared" ca="1" si="21"/>
        <v>110</v>
      </c>
      <c r="L85" s="11">
        <f t="shared" ca="1" si="22"/>
        <v>57</v>
      </c>
      <c r="M85" s="11">
        <f ca="1">MAX(MAX(0,($J85*(1+0.5*Acuity_M))-(Model!$G$24*(1+OTCapPct)*(Cap_Doc*$C85*(1-$G85)))),MAX(0,($J85)-(Model!$G$6*(1+OTCapPct)*(Cap_Nurse*$C85*(1-$H85)))),MAX(0,($J85)-(Model!$G$15*(1+OTCapPct)*(Cap_Tech*$C85*(1-$I85)))),MAX(0,$J85-((BedsCurrent+BedsAdded)*ShiftHours*$F85/BedHr_M)),MAX(0,$J85*Acuity_M-(ImgBase+ImgExpOn*ImgExpAdd)),MAX(0,$J85-(LabBase+LabExpOn*LabExpAdd)))</f>
        <v>2.0035749038074187</v>
      </c>
      <c r="N85" s="11">
        <f ca="1">MAX(MAX(0,($K85*(1+0.5*Acuity_E))-(Model!$G$25*(1+OTCapPct)*(Cap_Doc*$C85*(1-$G85)))),MAX(0,($K85)-(Model!$G$7*(1+OTCapPct)*(Cap_Nurse*$C85*(1-$H85)))),MAX(0,($K85)-(Model!$G$16*(1+OTCapPct)*(Cap_Tech*$C85*(1-$I85)))),MAX(0,$K85-((BedsCurrent+BedsAdded)*ShiftHours*$F85/BedHr_E)),MAX(0,$K85*Acuity_E-(ImgBase+ImgExpOn*ImgExpAdd)),MAX(0,$K85-(LabBase+LabExpOn*LabExpAdd)))</f>
        <v>15</v>
      </c>
      <c r="O85" s="11">
        <f ca="1">MAX(MAX(0,($L85*(1+0.5*Acuity_N))-(Model!$G$26*(1+OTCapPct)*(Cap_Doc*$C85*(1-$G85)))),MAX(0,($L85)-(Model!$G$8*(1+OTCapPct)*(Cap_Nurse*$C85*(1-$H85)))),MAX(0,($L85)-(Model!$G$17*(1+OTCapPct)*(Cap_Tech*$C85*(1-$I85)))),MAX(0,$L85-((BedsCurrent+BedsAdded)*ShiftHours*$F85/BedHr_N)),MAX(0,$L85*Acuity_N-(ImgBase+ImgExpOn*ImgExpAdd)),MAX(0,$L85-(LabBase+LabExpOn*LabExpAdd)))</f>
        <v>0</v>
      </c>
      <c r="P85" s="11">
        <f t="shared" ca="1" si="23"/>
        <v>17.003574903807419</v>
      </c>
      <c r="Q85" s="17">
        <f ca="1">((MIN(OTCapPct*Model!$G$24,MAX(0,(($J85*(1+0.5*Acuity_M))/(Cap_Doc*$C85*(1-$G85)))-Model!$G$24)))*OTCost_Doc)+((MIN(OTCapPct*Model!$G$6,MAX(0,(($J85)/(Cap_Nurse*$C85*(1-$H85)))-Model!$G$6)))*OTCost_Nurse)+((MIN(OTCapPct*Model!$G$15,MAX(0,(($J85)/(Cap_Tech*$C85*(1-$I85)))-Model!$G$15)))*OTCost_Tech)+((MIN(OTCapPct*Model!$G$25,MAX(0,(($K85*(1+0.5*Acuity_E))/(Cap_Doc*$C85*(1-$G85)))-Model!$G$25)))*OTCost_Doc)+((MIN(OTCapPct*Model!$G$7,MAX(0,(($K85)/(Cap_Nurse*$C85*(1-$H85)))-Model!$G$7)))*OTCost_Nurse)+((MIN(OTCapPct*Model!$G$16,MAX(0,(($K85)/(Cap_Tech*$C85*(1-$I85)))-Model!$G$16)))*OTCost_Tech)+((MIN(OTCapPct*Model!$G$26,MAX(0,(($L85*(1+0.5*Acuity_N))/(Cap_Doc*$C85*(1-$G85)))-Model!$G$26)))*OTCost_Doc)+((MIN(OTCapPct*Model!$G$8,MAX(0,(($L85)/(Cap_Nurse*$C85*(1-$H85)))-Model!$G$8)))*OTCost_Nurse)+((MIN(OTCapPct*Model!$G$17,MAX(0,(($L85)/(Cap_Tech*$C85*(1-$I85)))-Model!$G$17)))*OTCost_Tech)</f>
        <v>81573.199203651951</v>
      </c>
    </row>
    <row r="86" spans="1:17" x14ac:dyDescent="0.25">
      <c r="A86" s="11">
        <v>82</v>
      </c>
      <c r="B86" s="11" t="str">
        <f t="shared" ca="1" si="12"/>
        <v>Normal</v>
      </c>
      <c r="C86" s="11">
        <f t="shared" ca="1" si="13"/>
        <v>1</v>
      </c>
      <c r="D86" s="11">
        <f t="shared" ca="1" si="14"/>
        <v>0</v>
      </c>
      <c r="E86" s="11">
        <f t="shared" ca="1" si="15"/>
        <v>1</v>
      </c>
      <c r="F86" s="36">
        <f t="shared" ca="1" si="16"/>
        <v>0.86169265796642003</v>
      </c>
      <c r="G86" s="11">
        <f t="shared" ca="1" si="17"/>
        <v>3.4777068878215064E-2</v>
      </c>
      <c r="H86" s="11">
        <f t="shared" ca="1" si="18"/>
        <v>8.0869853899955976E-2</v>
      </c>
      <c r="I86" s="11">
        <f t="shared" ca="1" si="19"/>
        <v>2.6525993706713821E-2</v>
      </c>
      <c r="J86" s="11">
        <f t="shared" ca="1" si="20"/>
        <v>68</v>
      </c>
      <c r="K86" s="11">
        <f t="shared" ca="1" si="21"/>
        <v>129</v>
      </c>
      <c r="L86" s="11">
        <f t="shared" ca="1" si="22"/>
        <v>78</v>
      </c>
      <c r="M86" s="11">
        <f ca="1">MAX(MAX(0,($J86*(1+0.5*Acuity_M))-(Model!$G$24*(1+OTCapPct)*(Cap_Doc*$C86*(1-$G86)))),MAX(0,($J86)-(Model!$G$6*(1+OTCapPct)*(Cap_Nurse*$C86*(1-$H86)))),MAX(0,($J86)-(Model!$G$15*(1+OTCapPct)*(Cap_Tech*$C86*(1-$I86)))),MAX(0,$J86-((BedsCurrent+BedsAdded)*ShiftHours*$F86/BedHr_M)),MAX(0,$J86*Acuity_M-(ImgBase+ImgExpOn*ImgExpAdd)),MAX(0,$J86-(LabBase+LabExpOn*LabExpAdd)))</f>
        <v>0</v>
      </c>
      <c r="N86" s="11">
        <f ca="1">MAX(MAX(0,($K86*(1+0.5*Acuity_E))-(Model!$G$25*(1+OTCapPct)*(Cap_Doc*$C86*(1-$G86)))),MAX(0,($K86)-(Model!$G$7*(1+OTCapPct)*(Cap_Nurse*$C86*(1-$H86)))),MAX(0,($K86)-(Model!$G$16*(1+OTCapPct)*(Cap_Tech*$C86*(1-$I86)))),MAX(0,$K86-((BedsCurrent+BedsAdded)*ShiftHours*$F86/BedHr_E)),MAX(0,$K86*Acuity_E-(ImgBase+ImgExpOn*ImgExpAdd)),MAX(0,$K86-(LabBase+LabExpOn*LabExpAdd)))</f>
        <v>35.247838813253495</v>
      </c>
      <c r="O86" s="11">
        <f ca="1">MAX(MAX(0,($L86*(1+0.5*Acuity_N))-(Model!$G$26*(1+OTCapPct)*(Cap_Doc*$C86*(1-$G86)))),MAX(0,($L86)-(Model!$G$8*(1+OTCapPct)*(Cap_Nurse*$C86*(1-$H86)))),MAX(0,($L86)-(Model!$G$17*(1+OTCapPct)*(Cap_Tech*$C86*(1-$I86)))),MAX(0,$L86-((BedsCurrent+BedsAdded)*ShiftHours*$F86/BedHr_N)),MAX(0,$L86*Acuity_N-(ImgBase+ImgExpOn*ImgExpAdd)),MAX(0,$L86-(LabBase+LabExpOn*LabExpAdd)))</f>
        <v>2.8299361990393379</v>
      </c>
      <c r="P86" s="11">
        <f t="shared" ca="1" si="23"/>
        <v>38.077775012292832</v>
      </c>
      <c r="Q86" s="17">
        <f ca="1">((MIN(OTCapPct*Model!$G$24,MAX(0,(($J86*(1+0.5*Acuity_M))/(Cap_Doc*$C86*(1-$G86)))-Model!$G$24)))*OTCost_Doc)+((MIN(OTCapPct*Model!$G$6,MAX(0,(($J86)/(Cap_Nurse*$C86*(1-$H86)))-Model!$G$6)))*OTCost_Nurse)+((MIN(OTCapPct*Model!$G$15,MAX(0,(($J86)/(Cap_Tech*$C86*(1-$I86)))-Model!$G$15)))*OTCost_Tech)+((MIN(OTCapPct*Model!$G$25,MAX(0,(($K86*(1+0.5*Acuity_E))/(Cap_Doc*$C86*(1-$G86)))-Model!$G$25)))*OTCost_Doc)+((MIN(OTCapPct*Model!$G$7,MAX(0,(($K86)/(Cap_Nurse*$C86*(1-$H86)))-Model!$G$7)))*OTCost_Nurse)+((MIN(OTCapPct*Model!$G$16,MAX(0,(($K86)/(Cap_Tech*$C86*(1-$I86)))-Model!$G$16)))*OTCost_Tech)+((MIN(OTCapPct*Model!$G$26,MAX(0,(($L86*(1+0.5*Acuity_N))/(Cap_Doc*$C86*(1-$G86)))-Model!$G$26)))*OTCost_Doc)+((MIN(OTCapPct*Model!$G$8,MAX(0,(($L86)/(Cap_Nurse*$C86*(1-$H86)))-Model!$G$8)))*OTCost_Nurse)+((MIN(OTCapPct*Model!$G$17,MAX(0,(($L86)/(Cap_Tech*$C86*(1-$I86)))-Model!$G$17)))*OTCost_Tech)</f>
        <v>53345.128906370141</v>
      </c>
    </row>
    <row r="87" spans="1:17" x14ac:dyDescent="0.25">
      <c r="A87" s="11">
        <v>83</v>
      </c>
      <c r="B87" s="11" t="str">
        <f t="shared" ca="1" si="12"/>
        <v>Normal</v>
      </c>
      <c r="C87" s="11">
        <f t="shared" ca="1" si="13"/>
        <v>1</v>
      </c>
      <c r="D87" s="11">
        <f t="shared" ca="1" si="14"/>
        <v>0</v>
      </c>
      <c r="E87" s="11">
        <f t="shared" ca="1" si="15"/>
        <v>1</v>
      </c>
      <c r="F87" s="36">
        <f t="shared" ca="1" si="16"/>
        <v>1.1294158487606187</v>
      </c>
      <c r="G87" s="11">
        <f t="shared" ca="1" si="17"/>
        <v>0</v>
      </c>
      <c r="H87" s="11">
        <f t="shared" ca="1" si="18"/>
        <v>0.11113936603269016</v>
      </c>
      <c r="I87" s="11">
        <f t="shared" ca="1" si="19"/>
        <v>0.11363692388675113</v>
      </c>
      <c r="J87" s="11">
        <f t="shared" ca="1" si="20"/>
        <v>86</v>
      </c>
      <c r="K87" s="11">
        <f t="shared" ca="1" si="21"/>
        <v>148</v>
      </c>
      <c r="L87" s="11">
        <f t="shared" ca="1" si="22"/>
        <v>68</v>
      </c>
      <c r="M87" s="11">
        <f ca="1">MAX(MAX(0,($J87*(1+0.5*Acuity_M))-(Model!$G$24*(1+OTCapPct)*(Cap_Doc*$C87*(1-$G87)))),MAX(0,($J87)-(Model!$G$6*(1+OTCapPct)*(Cap_Nurse*$C87*(1-$H87)))),MAX(0,($J87)-(Model!$G$15*(1+OTCapPct)*(Cap_Tech*$C87*(1-$I87)))),MAX(0,$J87-((BedsCurrent+BedsAdded)*ShiftHours*$F87/BedHr_M)),MAX(0,$J87*Acuity_M-(ImgBase+ImgExpOn*ImgExpAdd)),MAX(0,$J87-(LabBase+LabExpOn*LabExpAdd)))</f>
        <v>0</v>
      </c>
      <c r="N87" s="11">
        <f ca="1">MAX(MAX(0,($K87*(1+0.5*Acuity_E))-(Model!$G$25*(1+OTCapPct)*(Cap_Doc*$C87*(1-$G87)))),MAX(0,($K87)-(Model!$G$7*(1+OTCapPct)*(Cap_Nurse*$C87*(1-$H87)))),MAX(0,($K87)-(Model!$G$16*(1+OTCapPct)*(Cap_Tech*$C87*(1-$I87)))),MAX(0,$K87-((BedsCurrent+BedsAdded)*ShiftHours*$F87/BedHr_E)),MAX(0,$K87*Acuity_E-(ImgBase+ImgExpOn*ImgExpAdd)),MAX(0,$K87-(LabBase+LabExpOn*LabExpAdd)))</f>
        <v>53</v>
      </c>
      <c r="O87" s="11">
        <f ca="1">MAX(MAX(0,($L87*(1+0.5*Acuity_N))-(Model!$G$26*(1+OTCapPct)*(Cap_Doc*$C87*(1-$G87)))),MAX(0,($L87)-(Model!$G$8*(1+OTCapPct)*(Cap_Nurse*$C87*(1-$H87)))),MAX(0,($L87)-(Model!$G$17*(1+OTCapPct)*(Cap_Tech*$C87*(1-$I87)))),MAX(0,$L87-((BedsCurrent+BedsAdded)*ShiftHours*$F87/BedHr_N)),MAX(0,$L87*Acuity_N-(ImgBase+ImgExpOn*ImgExpAdd)),MAX(0,$L87-(LabBase+LabExpOn*LabExpAdd)))</f>
        <v>0</v>
      </c>
      <c r="P87" s="11">
        <f t="shared" ca="1" si="23"/>
        <v>53</v>
      </c>
      <c r="Q87" s="17">
        <f ca="1">((MIN(OTCapPct*Model!$G$24,MAX(0,(($J87*(1+0.5*Acuity_M))/(Cap_Doc*$C87*(1-$G87)))-Model!$G$24)))*OTCost_Doc)+((MIN(OTCapPct*Model!$G$6,MAX(0,(($J87)/(Cap_Nurse*$C87*(1-$H87)))-Model!$G$6)))*OTCost_Nurse)+((MIN(OTCapPct*Model!$G$15,MAX(0,(($J87)/(Cap_Tech*$C87*(1-$I87)))-Model!$G$15)))*OTCost_Tech)+((MIN(OTCapPct*Model!$G$25,MAX(0,(($K87*(1+0.5*Acuity_E))/(Cap_Doc*$C87*(1-$G87)))-Model!$G$25)))*OTCost_Doc)+((MIN(OTCapPct*Model!$G$7,MAX(0,(($K87)/(Cap_Nurse*$C87*(1-$H87)))-Model!$G$7)))*OTCost_Nurse)+((MIN(OTCapPct*Model!$G$16,MAX(0,(($K87)/(Cap_Tech*$C87*(1-$I87)))-Model!$G$16)))*OTCost_Tech)+((MIN(OTCapPct*Model!$G$26,MAX(0,(($L87*(1+0.5*Acuity_N))/(Cap_Doc*$C87*(1-$G87)))-Model!$G$26)))*OTCost_Doc)+((MIN(OTCapPct*Model!$G$8,MAX(0,(($L87)/(Cap_Nurse*$C87*(1-$H87)))-Model!$G$8)))*OTCost_Nurse)+((MIN(OTCapPct*Model!$G$17,MAX(0,(($L87)/(Cap_Tech*$C87*(1-$I87)))-Model!$G$17)))*OTCost_Tech)</f>
        <v>64137.683478326071</v>
      </c>
    </row>
    <row r="88" spans="1:17" x14ac:dyDescent="0.25">
      <c r="A88" s="11">
        <v>84</v>
      </c>
      <c r="B88" s="11" t="str">
        <f t="shared" ca="1" si="12"/>
        <v>Normal</v>
      </c>
      <c r="C88" s="11">
        <f t="shared" ca="1" si="13"/>
        <v>1</v>
      </c>
      <c r="D88" s="11">
        <f t="shared" ca="1" si="14"/>
        <v>0</v>
      </c>
      <c r="E88" s="11">
        <f t="shared" ca="1" si="15"/>
        <v>3</v>
      </c>
      <c r="F88" s="36">
        <f t="shared" ca="1" si="16"/>
        <v>0.96204144233511557</v>
      </c>
      <c r="G88" s="11">
        <f t="shared" ca="1" si="17"/>
        <v>3.0908423232069649E-2</v>
      </c>
      <c r="H88" s="11">
        <f t="shared" ca="1" si="18"/>
        <v>5.4963594973547747E-2</v>
      </c>
      <c r="I88" s="11">
        <f t="shared" ca="1" si="19"/>
        <v>3.4617295153352504E-2</v>
      </c>
      <c r="J88" s="11">
        <f t="shared" ca="1" si="20"/>
        <v>84</v>
      </c>
      <c r="K88" s="11">
        <f t="shared" ca="1" si="21"/>
        <v>99</v>
      </c>
      <c r="L88" s="11">
        <f t="shared" ca="1" si="22"/>
        <v>62</v>
      </c>
      <c r="M88" s="11">
        <f ca="1">MAX(MAX(0,($J88*(1+0.5*Acuity_M))-(Model!$G$24*(1+OTCapPct)*(Cap_Doc*$C88*(1-$G88)))),MAX(0,($J88)-(Model!$G$6*(1+OTCapPct)*(Cap_Nurse*$C88*(1-$H88)))),MAX(0,($J88)-(Model!$G$15*(1+OTCapPct)*(Cap_Tech*$C88*(1-$I88)))),MAX(0,$J88-((BedsCurrent+BedsAdded)*ShiftHours*$F88/BedHr_M)),MAX(0,$J88*Acuity_M-(ImgBase+ImgExpOn*ImgExpAdd)),MAX(0,$J88-(LabBase+LabExpOn*LabExpAdd)))</f>
        <v>0</v>
      </c>
      <c r="N88" s="11">
        <f ca="1">MAX(MAX(0,($K88*(1+0.5*Acuity_E))-(Model!$G$25*(1+OTCapPct)*(Cap_Doc*$C88*(1-$G88)))),MAX(0,($K88)-(Model!$G$7*(1+OTCapPct)*(Cap_Nurse*$C88*(1-$H88)))),MAX(0,($K88)-(Model!$G$16*(1+OTCapPct)*(Cap_Tech*$C88*(1-$I88)))),MAX(0,$K88-((BedsCurrent+BedsAdded)*ShiftHours*$F88/BedHr_E)),MAX(0,$K88*Acuity_E-(ImgBase+ImgExpOn*ImgExpAdd)),MAX(0,$K88-(LabBase+LabExpOn*LabExpAdd)))</f>
        <v>4</v>
      </c>
      <c r="O88" s="11">
        <f ca="1">MAX(MAX(0,($L88*(1+0.5*Acuity_N))-(Model!$G$26*(1+OTCapPct)*(Cap_Doc*$C88*(1-$G88)))),MAX(0,($L88)-(Model!$G$8*(1+OTCapPct)*(Cap_Nurse*$C88*(1-$H88)))),MAX(0,($L88)-(Model!$G$17*(1+OTCapPct)*(Cap_Tech*$C88*(1-$I88)))),MAX(0,$L88-((BedsCurrent+BedsAdded)*ShiftHours*$F88/BedHr_N)),MAX(0,$L88*Acuity_N-(ImgBase+ImgExpOn*ImgExpAdd)),MAX(0,$L88-(LabBase+LabExpOn*LabExpAdd)))</f>
        <v>0</v>
      </c>
      <c r="P88" s="11">
        <f t="shared" ca="1" si="23"/>
        <v>4</v>
      </c>
      <c r="Q88" s="17">
        <f ca="1">((MIN(OTCapPct*Model!$G$24,MAX(0,(($J88*(1+0.5*Acuity_M))/(Cap_Doc*$C88*(1-$G88)))-Model!$G$24)))*OTCost_Doc)+((MIN(OTCapPct*Model!$G$6,MAX(0,(($J88)/(Cap_Nurse*$C88*(1-$H88)))-Model!$G$6)))*OTCost_Nurse)+((MIN(OTCapPct*Model!$G$15,MAX(0,(($J88)/(Cap_Tech*$C88*(1-$I88)))-Model!$G$15)))*OTCost_Tech)+((MIN(OTCapPct*Model!$G$25,MAX(0,(($K88*(1+0.5*Acuity_E))/(Cap_Doc*$C88*(1-$G88)))-Model!$G$25)))*OTCost_Doc)+((MIN(OTCapPct*Model!$G$7,MAX(0,(($K88)/(Cap_Nurse*$C88*(1-$H88)))-Model!$G$7)))*OTCost_Nurse)+((MIN(OTCapPct*Model!$G$16,MAX(0,(($K88)/(Cap_Tech*$C88*(1-$I88)))-Model!$G$16)))*OTCost_Tech)+((MIN(OTCapPct*Model!$G$26,MAX(0,(($L88*(1+0.5*Acuity_N))/(Cap_Doc*$C88*(1-$G88)))-Model!$G$26)))*OTCost_Doc)+((MIN(OTCapPct*Model!$G$8,MAX(0,(($L88)/(Cap_Nurse*$C88*(1-$H88)))-Model!$G$8)))*OTCost_Nurse)+((MIN(OTCapPct*Model!$G$17,MAX(0,(($L88)/(Cap_Tech*$C88*(1-$I88)))-Model!$G$17)))*OTCost_Tech)</f>
        <v>8487.2000052602434</v>
      </c>
    </row>
    <row r="89" spans="1:17" x14ac:dyDescent="0.25">
      <c r="A89" s="11">
        <v>85</v>
      </c>
      <c r="B89" s="11" t="str">
        <f t="shared" ca="1" si="12"/>
        <v>Normal</v>
      </c>
      <c r="C89" s="11">
        <f t="shared" ca="1" si="13"/>
        <v>1</v>
      </c>
      <c r="D89" s="11">
        <f t="shared" ca="1" si="14"/>
        <v>0</v>
      </c>
      <c r="E89" s="11">
        <f t="shared" ca="1" si="15"/>
        <v>3</v>
      </c>
      <c r="F89" s="36">
        <f t="shared" ca="1" si="16"/>
        <v>1.1456976018224705</v>
      </c>
      <c r="G89" s="11">
        <f t="shared" ca="1" si="17"/>
        <v>2.7507474494163721E-2</v>
      </c>
      <c r="H89" s="11">
        <f t="shared" ca="1" si="18"/>
        <v>8.2372659484592839E-3</v>
      </c>
      <c r="I89" s="11">
        <f t="shared" ca="1" si="19"/>
        <v>4.3140643664409763E-2</v>
      </c>
      <c r="J89" s="11">
        <f t="shared" ca="1" si="20"/>
        <v>86</v>
      </c>
      <c r="K89" s="11">
        <f t="shared" ca="1" si="21"/>
        <v>144</v>
      </c>
      <c r="L89" s="11">
        <f t="shared" ca="1" si="22"/>
        <v>60</v>
      </c>
      <c r="M89" s="11">
        <f ca="1">MAX(MAX(0,($J89*(1+0.5*Acuity_M))-(Model!$G$24*(1+OTCapPct)*(Cap_Doc*$C89*(1-$G89)))),MAX(0,($J89)-(Model!$G$6*(1+OTCapPct)*(Cap_Nurse*$C89*(1-$H89)))),MAX(0,($J89)-(Model!$G$15*(1+OTCapPct)*(Cap_Tech*$C89*(1-$I89)))),MAX(0,$J89-((BedsCurrent+BedsAdded)*ShiftHours*$F89/BedHr_M)),MAX(0,$J89*Acuity_M-(ImgBase+ImgExpOn*ImgExpAdd)),MAX(0,$J89-(LabBase+LabExpOn*LabExpAdd)))</f>
        <v>0</v>
      </c>
      <c r="N89" s="11">
        <f ca="1">MAX(MAX(0,($K89*(1+0.5*Acuity_E))-(Model!$G$25*(1+OTCapPct)*(Cap_Doc*$C89*(1-$G89)))),MAX(0,($K89)-(Model!$G$7*(1+OTCapPct)*(Cap_Nurse*$C89*(1-$H89)))),MAX(0,($K89)-(Model!$G$16*(1+OTCapPct)*(Cap_Tech*$C89*(1-$I89)))),MAX(0,$K89-((BedsCurrent+BedsAdded)*ShiftHours*$F89/BedHr_E)),MAX(0,$K89*Acuity_E-(ImgBase+ImgExpOn*ImgExpAdd)),MAX(0,$K89-(LabBase+LabExpOn*LabExpAdd)))</f>
        <v>49</v>
      </c>
      <c r="O89" s="11">
        <f ca="1">MAX(MAX(0,($L89*(1+0.5*Acuity_N))-(Model!$G$26*(1+OTCapPct)*(Cap_Doc*$C89*(1-$G89)))),MAX(0,($L89)-(Model!$G$8*(1+OTCapPct)*(Cap_Nurse*$C89*(1-$H89)))),MAX(0,($L89)-(Model!$G$17*(1+OTCapPct)*(Cap_Tech*$C89*(1-$I89)))),MAX(0,$L89-((BedsCurrent+BedsAdded)*ShiftHours*$F89/BedHr_N)),MAX(0,$L89*Acuity_N-(ImgBase+ImgExpOn*ImgExpAdd)),MAX(0,$L89-(LabBase+LabExpOn*LabExpAdd)))</f>
        <v>0</v>
      </c>
      <c r="P89" s="11">
        <f t="shared" ca="1" si="23"/>
        <v>49</v>
      </c>
      <c r="Q89" s="17">
        <f ca="1">((MIN(OTCapPct*Model!$G$24,MAX(0,(($J89*(1+0.5*Acuity_M))/(Cap_Doc*$C89*(1-$G89)))-Model!$G$24)))*OTCost_Doc)+((MIN(OTCapPct*Model!$G$6,MAX(0,(($J89)/(Cap_Nurse*$C89*(1-$H89)))-Model!$G$6)))*OTCost_Nurse)+((MIN(OTCapPct*Model!$G$15,MAX(0,(($J89)/(Cap_Tech*$C89*(1-$I89)))-Model!$G$15)))*OTCost_Tech)+((MIN(OTCapPct*Model!$G$25,MAX(0,(($K89*(1+0.5*Acuity_E))/(Cap_Doc*$C89*(1-$G89)))-Model!$G$25)))*OTCost_Doc)+((MIN(OTCapPct*Model!$G$7,MAX(0,(($K89)/(Cap_Nurse*$C89*(1-$H89)))-Model!$G$7)))*OTCost_Nurse)+((MIN(OTCapPct*Model!$G$16,MAX(0,(($K89)/(Cap_Tech*$C89*(1-$I89)))-Model!$G$16)))*OTCost_Tech)+((MIN(OTCapPct*Model!$G$26,MAX(0,(($L89*(1+0.5*Acuity_N))/(Cap_Doc*$C89*(1-$G89)))-Model!$G$26)))*OTCost_Doc)+((MIN(OTCapPct*Model!$G$8,MAX(0,(($L89)/(Cap_Nurse*$C89*(1-$H89)))-Model!$G$8)))*OTCost_Nurse)+((MIN(OTCapPct*Model!$G$17,MAX(0,(($L89)/(Cap_Tech*$C89*(1-$I89)))-Model!$G$17)))*OTCost_Tech)</f>
        <v>49863.18599854935</v>
      </c>
    </row>
    <row r="90" spans="1:17" x14ac:dyDescent="0.25">
      <c r="A90" s="11">
        <v>86</v>
      </c>
      <c r="B90" s="11" t="str">
        <f t="shared" ca="1" si="12"/>
        <v>Complex</v>
      </c>
      <c r="C90" s="11">
        <f t="shared" ca="1" si="13"/>
        <v>0.9</v>
      </c>
      <c r="D90" s="11">
        <f t="shared" ca="1" si="14"/>
        <v>0</v>
      </c>
      <c r="E90" s="11">
        <f t="shared" ca="1" si="15"/>
        <v>2</v>
      </c>
      <c r="F90" s="36">
        <f t="shared" ca="1" si="16"/>
        <v>1.0473822542950513</v>
      </c>
      <c r="G90" s="11">
        <f t="shared" ca="1" si="17"/>
        <v>0</v>
      </c>
      <c r="H90" s="11">
        <f t="shared" ca="1" si="18"/>
        <v>3.7427940254089229E-2</v>
      </c>
      <c r="I90" s="11">
        <f t="shared" ca="1" si="19"/>
        <v>8.1855808582388251E-3</v>
      </c>
      <c r="J90" s="11">
        <f t="shared" ca="1" si="20"/>
        <v>88</v>
      </c>
      <c r="K90" s="11">
        <f t="shared" ca="1" si="21"/>
        <v>134</v>
      </c>
      <c r="L90" s="11">
        <f t="shared" ca="1" si="22"/>
        <v>79</v>
      </c>
      <c r="M90" s="11">
        <f ca="1">MAX(MAX(0,($J90*(1+0.5*Acuity_M))-(Model!$G$24*(1+OTCapPct)*(Cap_Doc*$C90*(1-$G90)))),MAX(0,($J90)-(Model!$G$6*(1+OTCapPct)*(Cap_Nurse*$C90*(1-$H90)))),MAX(0,($J90)-(Model!$G$15*(1+OTCapPct)*(Cap_Tech*$C90*(1-$I90)))),MAX(0,$J90-((BedsCurrent+BedsAdded)*ShiftHours*$F90/BedHr_M)),MAX(0,$J90*Acuity_M-(ImgBase+ImgExpOn*ImgExpAdd)),MAX(0,$J90-(LabBase+LabExpOn*LabExpAdd)))</f>
        <v>0</v>
      </c>
      <c r="N90" s="11">
        <f ca="1">MAX(MAX(0,($K90*(1+0.5*Acuity_E))-(Model!$G$25*(1+OTCapPct)*(Cap_Doc*$C90*(1-$G90)))),MAX(0,($K90)-(Model!$G$7*(1+OTCapPct)*(Cap_Nurse*$C90*(1-$H90)))),MAX(0,($K90)-(Model!$G$16*(1+OTCapPct)*(Cap_Tech*$C90*(1-$I90)))),MAX(0,$K90-((BedsCurrent+BedsAdded)*ShiftHours*$F90/BedHr_E)),MAX(0,$K90*Acuity_E-(ImgBase+ImgExpOn*ImgExpAdd)),MAX(0,$K90-(LabBase+LabExpOn*LabExpAdd)))</f>
        <v>39</v>
      </c>
      <c r="O90" s="11">
        <f ca="1">MAX(MAX(0,($L90*(1+0.5*Acuity_N))-(Model!$G$26*(1+OTCapPct)*(Cap_Doc*$C90*(1-$G90)))),MAX(0,($L90)-(Model!$G$8*(1+OTCapPct)*(Cap_Nurse*$C90*(1-$H90)))),MAX(0,($L90)-(Model!$G$17*(1+OTCapPct)*(Cap_Tech*$C90*(1-$I90)))),MAX(0,$L90-((BedsCurrent+BedsAdded)*ShiftHours*$F90/BedHr_N)),MAX(0,$L90*Acuity_N-(ImgBase+ImgExpOn*ImgExpAdd)),MAX(0,$L90-(LabBase+LabExpOn*LabExpAdd)))</f>
        <v>9.8499999999999943</v>
      </c>
      <c r="P90" s="11">
        <f t="shared" ca="1" si="23"/>
        <v>48.849999999999994</v>
      </c>
      <c r="Q90" s="17">
        <f ca="1">((MIN(OTCapPct*Model!$G$24,MAX(0,(($J90*(1+0.5*Acuity_M))/(Cap_Doc*$C90*(1-$G90)))-Model!$G$24)))*OTCost_Doc)+((MIN(OTCapPct*Model!$G$6,MAX(0,(($J90)/(Cap_Nurse*$C90*(1-$H90)))-Model!$G$6)))*OTCost_Nurse)+((MIN(OTCapPct*Model!$G$15,MAX(0,(($J90)/(Cap_Tech*$C90*(1-$I90)))-Model!$G$15)))*OTCost_Tech)+((MIN(OTCapPct*Model!$G$25,MAX(0,(($K90*(1+0.5*Acuity_E))/(Cap_Doc*$C90*(1-$G90)))-Model!$G$25)))*OTCost_Doc)+((MIN(OTCapPct*Model!$G$7,MAX(0,(($K90)/(Cap_Nurse*$C90*(1-$H90)))-Model!$G$7)))*OTCost_Nurse)+((MIN(OTCapPct*Model!$G$16,MAX(0,(($K90)/(Cap_Tech*$C90*(1-$I90)))-Model!$G$16)))*OTCost_Tech)+((MIN(OTCapPct*Model!$G$26,MAX(0,(($L90*(1+0.5*Acuity_N))/(Cap_Doc*$C90*(1-$G90)))-Model!$G$26)))*OTCost_Doc)+((MIN(OTCapPct*Model!$G$8,MAX(0,(($L90)/(Cap_Nurse*$C90*(1-$H90)))-Model!$G$8)))*OTCost_Nurse)+((MIN(OTCapPct*Model!$G$17,MAX(0,(($L90)/(Cap_Tech*$C90*(1-$I90)))-Model!$G$17)))*OTCost_Tech)</f>
        <v>92978.127526206474</v>
      </c>
    </row>
    <row r="91" spans="1:17" x14ac:dyDescent="0.25">
      <c r="A91" s="11">
        <v>87</v>
      </c>
      <c r="B91" s="11" t="str">
        <f t="shared" ca="1" si="12"/>
        <v>Normal</v>
      </c>
      <c r="C91" s="11">
        <f t="shared" ca="1" si="13"/>
        <v>1</v>
      </c>
      <c r="D91" s="11">
        <f t="shared" ca="1" si="14"/>
        <v>0</v>
      </c>
      <c r="E91" s="11">
        <f t="shared" ca="1" si="15"/>
        <v>2</v>
      </c>
      <c r="F91" s="36">
        <f t="shared" ca="1" si="16"/>
        <v>0.87697452181422153</v>
      </c>
      <c r="G91" s="11">
        <f t="shared" ca="1" si="17"/>
        <v>8.4975467574855898E-3</v>
      </c>
      <c r="H91" s="11">
        <f t="shared" ca="1" si="18"/>
        <v>6.7014686560337919E-3</v>
      </c>
      <c r="I91" s="11">
        <f t="shared" ca="1" si="19"/>
        <v>1.2336469670688847E-2</v>
      </c>
      <c r="J91" s="11">
        <f t="shared" ca="1" si="20"/>
        <v>91</v>
      </c>
      <c r="K91" s="11">
        <f t="shared" ca="1" si="21"/>
        <v>108</v>
      </c>
      <c r="L91" s="11">
        <f t="shared" ca="1" si="22"/>
        <v>64</v>
      </c>
      <c r="M91" s="11">
        <f ca="1">MAX(MAX(0,($J91*(1+0.5*Acuity_M))-(Model!$G$24*(1+OTCapPct)*(Cap_Doc*$C91*(1-$G91)))),MAX(0,($J91)-(Model!$G$6*(1+OTCapPct)*(Cap_Nurse*$C91*(1-$H91)))),MAX(0,($J91)-(Model!$G$15*(1+OTCapPct)*(Cap_Tech*$C91*(1-$I91)))),MAX(0,$J91-((BedsCurrent+BedsAdded)*ShiftHours*$F91/BedHr_M)),MAX(0,$J91*Acuity_M-(ImgBase+ImgExpOn*ImgExpAdd)),MAX(0,$J91-(LabBase+LabExpOn*LabExpAdd)))</f>
        <v>0</v>
      </c>
      <c r="N91" s="11">
        <f ca="1">MAX(MAX(0,($K91*(1+0.5*Acuity_E))-(Model!$G$25*(1+OTCapPct)*(Cap_Doc*$C91*(1-$G91)))),MAX(0,($K91)-(Model!$G$7*(1+OTCapPct)*(Cap_Nurse*$C91*(1-$H91)))),MAX(0,($K91)-(Model!$G$16*(1+OTCapPct)*(Cap_Tech*$C91*(1-$I91)))),MAX(0,$K91-((BedsCurrent+BedsAdded)*ShiftHours*$F91/BedHr_E)),MAX(0,$K91*Acuity_E-(ImgBase+ImgExpOn*ImgExpAdd)),MAX(0,$K91-(LabBase+LabExpOn*LabExpAdd)))</f>
        <v>13</v>
      </c>
      <c r="O91" s="11">
        <f ca="1">MAX(MAX(0,($L91*(1+0.5*Acuity_N))-(Model!$G$26*(1+OTCapPct)*(Cap_Doc*$C91*(1-$G91)))),MAX(0,($L91)-(Model!$G$8*(1+OTCapPct)*(Cap_Nurse*$C91*(1-$H91)))),MAX(0,($L91)-(Model!$G$17*(1+OTCapPct)*(Cap_Tech*$C91*(1-$I91)))),MAX(0,$L91-((BedsCurrent+BedsAdded)*ShiftHours*$F91/BedHr_N)),MAX(0,$L91*Acuity_N-(ImgBase+ImgExpOn*ImgExpAdd)),MAX(0,$L91-(LabBase+LabExpOn*LabExpAdd)))</f>
        <v>0</v>
      </c>
      <c r="P91" s="11">
        <f t="shared" ca="1" si="23"/>
        <v>13</v>
      </c>
      <c r="Q91" s="17">
        <f ca="1">((MIN(OTCapPct*Model!$G$24,MAX(0,(($J91*(1+0.5*Acuity_M))/(Cap_Doc*$C91*(1-$G91)))-Model!$G$24)))*OTCost_Doc)+((MIN(OTCapPct*Model!$G$6,MAX(0,(($J91)/(Cap_Nurse*$C91*(1-$H91)))-Model!$G$6)))*OTCost_Nurse)+((MIN(OTCapPct*Model!$G$15,MAX(0,(($J91)/(Cap_Tech*$C91*(1-$I91)))-Model!$G$15)))*OTCost_Tech)+((MIN(OTCapPct*Model!$G$25,MAX(0,(($K91*(1+0.5*Acuity_E))/(Cap_Doc*$C91*(1-$G91)))-Model!$G$25)))*OTCost_Doc)+((MIN(OTCapPct*Model!$G$7,MAX(0,(($K91)/(Cap_Nurse*$C91*(1-$H91)))-Model!$G$7)))*OTCost_Nurse)+((MIN(OTCapPct*Model!$G$16,MAX(0,(($K91)/(Cap_Tech*$C91*(1-$I91)))-Model!$G$16)))*OTCost_Tech)+((MIN(OTCapPct*Model!$G$26,MAX(0,(($L91*(1+0.5*Acuity_N))/(Cap_Doc*$C91*(1-$G91)))-Model!$G$26)))*OTCost_Doc)+((MIN(OTCapPct*Model!$G$8,MAX(0,(($L91)/(Cap_Nurse*$C91*(1-$H91)))-Model!$G$8)))*OTCost_Nurse)+((MIN(OTCapPct*Model!$G$17,MAX(0,(($L91)/(Cap_Tech*$C91*(1-$I91)))-Model!$G$17)))*OTCost_Tech)</f>
        <v>15060.183387873634</v>
      </c>
    </row>
    <row r="92" spans="1:17" x14ac:dyDescent="0.25">
      <c r="A92" s="11">
        <v>88</v>
      </c>
      <c r="B92" s="11" t="str">
        <f t="shared" ca="1" si="12"/>
        <v>Normal</v>
      </c>
      <c r="C92" s="11">
        <f t="shared" ca="1" si="13"/>
        <v>1</v>
      </c>
      <c r="D92" s="11">
        <f t="shared" ca="1" si="14"/>
        <v>0</v>
      </c>
      <c r="E92" s="11">
        <f t="shared" ca="1" si="15"/>
        <v>1</v>
      </c>
      <c r="F92" s="36">
        <f t="shared" ca="1" si="16"/>
        <v>0.80457257303047613</v>
      </c>
      <c r="G92" s="11">
        <f t="shared" ca="1" si="17"/>
        <v>0</v>
      </c>
      <c r="H92" s="11">
        <f t="shared" ca="1" si="18"/>
        <v>4.0153539073003314E-4</v>
      </c>
      <c r="I92" s="11">
        <f t="shared" ca="1" si="19"/>
        <v>0.14954375524264427</v>
      </c>
      <c r="J92" s="11">
        <f t="shared" ca="1" si="20"/>
        <v>86</v>
      </c>
      <c r="K92" s="11">
        <f t="shared" ca="1" si="21"/>
        <v>113</v>
      </c>
      <c r="L92" s="11">
        <f t="shared" ca="1" si="22"/>
        <v>54</v>
      </c>
      <c r="M92" s="11">
        <f ca="1">MAX(MAX(0,($J92*(1+0.5*Acuity_M))-(Model!$G$24*(1+OTCapPct)*(Cap_Doc*$C92*(1-$G92)))),MAX(0,($J92)-(Model!$G$6*(1+OTCapPct)*(Cap_Nurse*$C92*(1-$H92)))),MAX(0,($J92)-(Model!$G$15*(1+OTCapPct)*(Cap_Tech*$C92*(1-$I92)))),MAX(0,$J92-((BedsCurrent+BedsAdded)*ShiftHours*$F92/BedHr_M)),MAX(0,$J92*Acuity_M-(ImgBase+ImgExpOn*ImgExpAdd)),MAX(0,$J92-(LabBase+LabExpOn*LabExpAdd)))</f>
        <v>0</v>
      </c>
      <c r="N92" s="11">
        <f ca="1">MAX(MAX(0,($K92*(1+0.5*Acuity_E))-(Model!$G$25*(1+OTCapPct)*(Cap_Doc*$C92*(1-$G92)))),MAX(0,($K92)-(Model!$G$7*(1+OTCapPct)*(Cap_Nurse*$C92*(1-$H92)))),MAX(0,($K92)-(Model!$G$16*(1+OTCapPct)*(Cap_Tech*$C92*(1-$I92)))),MAX(0,$K92-((BedsCurrent+BedsAdded)*ShiftHours*$F92/BedHr_E)),MAX(0,$K92*Acuity_E-(ImgBase+ImgExpOn*ImgExpAdd)),MAX(0,$K92-(LabBase+LabExpOn*LabExpAdd)))</f>
        <v>25.462504054284196</v>
      </c>
      <c r="O92" s="11">
        <f ca="1">MAX(MAX(0,($L92*(1+0.5*Acuity_N))-(Model!$G$26*(1+OTCapPct)*(Cap_Doc*$C92*(1-$G92)))),MAX(0,($L92)-(Model!$G$8*(1+OTCapPct)*(Cap_Nurse*$C92*(1-$H92)))),MAX(0,($L92)-(Model!$G$17*(1+OTCapPct)*(Cap_Tech*$C92*(1-$I92)))),MAX(0,$L92-((BedsCurrent+BedsAdded)*ShiftHours*$F92/BedHr_N)),MAX(0,$L92*Acuity_N-(ImgBase+ImgExpOn*ImgExpAdd)),MAX(0,$L92-(LabBase+LabExpOn*LabExpAdd)))</f>
        <v>0</v>
      </c>
      <c r="P92" s="11">
        <f t="shared" ca="1" si="23"/>
        <v>25.462504054284196</v>
      </c>
      <c r="Q92" s="17">
        <f ca="1">((MIN(OTCapPct*Model!$G$24,MAX(0,(($J92*(1+0.5*Acuity_M))/(Cap_Doc*$C92*(1-$G92)))-Model!$G$24)))*OTCost_Doc)+((MIN(OTCapPct*Model!$G$6,MAX(0,(($J92)/(Cap_Nurse*$C92*(1-$H92)))-Model!$G$6)))*OTCost_Nurse)+((MIN(OTCapPct*Model!$G$15,MAX(0,(($J92)/(Cap_Tech*$C92*(1-$I92)))-Model!$G$15)))*OTCost_Tech)+((MIN(OTCapPct*Model!$G$25,MAX(0,(($K92*(1+0.5*Acuity_E))/(Cap_Doc*$C92*(1-$G92)))-Model!$G$25)))*OTCost_Doc)+((MIN(OTCapPct*Model!$G$7,MAX(0,(($K92)/(Cap_Nurse*$C92*(1-$H92)))-Model!$G$7)))*OTCost_Nurse)+((MIN(OTCapPct*Model!$G$16,MAX(0,(($K92)/(Cap_Tech*$C92*(1-$I92)))-Model!$G$16)))*OTCost_Tech)+((MIN(OTCapPct*Model!$G$26,MAX(0,(($L92*(1+0.5*Acuity_N))/(Cap_Doc*$C92*(1-$G92)))-Model!$G$26)))*OTCost_Doc)+((MIN(OTCapPct*Model!$G$8,MAX(0,(($L92)/(Cap_Nurse*$C92*(1-$H92)))-Model!$G$8)))*OTCost_Nurse)+((MIN(OTCapPct*Model!$G$17,MAX(0,(($L92)/(Cap_Tech*$C92*(1-$I92)))-Model!$G$17)))*OTCost_Tech)</f>
        <v>11310.720675337043</v>
      </c>
    </row>
    <row r="93" spans="1:17" x14ac:dyDescent="0.25">
      <c r="A93" s="11">
        <v>89</v>
      </c>
      <c r="B93" s="11" t="str">
        <f t="shared" ca="1" si="12"/>
        <v>Normal</v>
      </c>
      <c r="C93" s="11">
        <f t="shared" ca="1" si="13"/>
        <v>1</v>
      </c>
      <c r="D93" s="11">
        <f t="shared" ca="1" si="14"/>
        <v>0</v>
      </c>
      <c r="E93" s="11">
        <f t="shared" ca="1" si="15"/>
        <v>1</v>
      </c>
      <c r="F93" s="36">
        <f t="shared" ca="1" si="16"/>
        <v>0.84998581247821692</v>
      </c>
      <c r="G93" s="11">
        <f t="shared" ca="1" si="17"/>
        <v>6.2174050637597914E-2</v>
      </c>
      <c r="H93" s="11">
        <f t="shared" ca="1" si="18"/>
        <v>0</v>
      </c>
      <c r="I93" s="11">
        <f t="shared" ca="1" si="19"/>
        <v>0.1413098643400022</v>
      </c>
      <c r="J93" s="11">
        <f t="shared" ca="1" si="20"/>
        <v>92</v>
      </c>
      <c r="K93" s="11">
        <f t="shared" ca="1" si="21"/>
        <v>152</v>
      </c>
      <c r="L93" s="11">
        <f t="shared" ca="1" si="22"/>
        <v>72</v>
      </c>
      <c r="M93" s="11">
        <f ca="1">MAX(MAX(0,($J93*(1+0.5*Acuity_M))-(Model!$G$24*(1+OTCapPct)*(Cap_Doc*$C93*(1-$G93)))),MAX(0,($J93)-(Model!$G$6*(1+OTCapPct)*(Cap_Nurse*$C93*(1-$H93)))),MAX(0,($J93)-(Model!$G$15*(1+OTCapPct)*(Cap_Tech*$C93*(1-$I93)))),MAX(0,$J93-((BedsCurrent+BedsAdded)*ShiftHours*$F93/BedHr_M)),MAX(0,$J93*Acuity_M-(ImgBase+ImgExpOn*ImgExpAdd)),MAX(0,$J93-(LabBase+LabExpOn*LabExpAdd)))</f>
        <v>0</v>
      </c>
      <c r="N93" s="11">
        <f ca="1">MAX(MAX(0,($K93*(1+0.5*Acuity_E))-(Model!$G$25*(1+OTCapPct)*(Cap_Doc*$C93*(1-$G93)))),MAX(0,($K93)-(Model!$G$7*(1+OTCapPct)*(Cap_Nurse*$C93*(1-$H93)))),MAX(0,($K93)-(Model!$G$16*(1+OTCapPct)*(Cap_Tech*$C93*(1-$I93)))),MAX(0,$K93-((BedsCurrent+BedsAdded)*ShiftHours*$F93/BedHr_E)),MAX(0,$K93*Acuity_E-(ImgBase+ImgExpOn*ImgExpAdd)),MAX(0,$K93-(LabBase+LabExpOn*LabExpAdd)))</f>
        <v>59.521543602370002</v>
      </c>
      <c r="O93" s="11">
        <f ca="1">MAX(MAX(0,($L93*(1+0.5*Acuity_N))-(Model!$G$26*(1+OTCapPct)*(Cap_Doc*$C93*(1-$G93)))),MAX(0,($L93)-(Model!$G$8*(1+OTCapPct)*(Cap_Nurse*$C93*(1-$H93)))),MAX(0,($L93)-(Model!$G$17*(1+OTCapPct)*(Cap_Tech*$C93*(1-$I93)))),MAX(0,$L93-((BedsCurrent+BedsAdded)*ShiftHours*$F93/BedHr_N)),MAX(0,$L93*Acuity_N-(ImgBase+ImgExpOn*ImgExpAdd)),MAX(0,$L93-(LabBase+LabExpOn*LabExpAdd)))</f>
        <v>0</v>
      </c>
      <c r="P93" s="11">
        <f t="shared" ca="1" si="23"/>
        <v>59.521543602370002</v>
      </c>
      <c r="Q93" s="17">
        <f ca="1">((MIN(OTCapPct*Model!$G$24,MAX(0,(($J93*(1+0.5*Acuity_M))/(Cap_Doc*$C93*(1-$G93)))-Model!$G$24)))*OTCost_Doc)+((MIN(OTCapPct*Model!$G$6,MAX(0,(($J93)/(Cap_Nurse*$C93*(1-$H93)))-Model!$G$6)))*OTCost_Nurse)+((MIN(OTCapPct*Model!$G$15,MAX(0,(($J93)/(Cap_Tech*$C93*(1-$I93)))-Model!$G$15)))*OTCost_Tech)+((MIN(OTCapPct*Model!$G$25,MAX(0,(($K93*(1+0.5*Acuity_E))/(Cap_Doc*$C93*(1-$G93)))-Model!$G$25)))*OTCost_Doc)+((MIN(OTCapPct*Model!$G$7,MAX(0,(($K93)/(Cap_Nurse*$C93*(1-$H93)))-Model!$G$7)))*OTCost_Nurse)+((MIN(OTCapPct*Model!$G$16,MAX(0,(($K93)/(Cap_Tech*$C93*(1-$I93)))-Model!$G$16)))*OTCost_Tech)+((MIN(OTCapPct*Model!$G$26,MAX(0,(($L93*(1+0.5*Acuity_N))/(Cap_Doc*$C93*(1-$G93)))-Model!$G$26)))*OTCost_Doc)+((MIN(OTCapPct*Model!$G$8,MAX(0,(($L93)/(Cap_Nurse*$C93*(1-$H93)))-Model!$G$8)))*OTCost_Nurse)+((MIN(OTCapPct*Model!$G$17,MAX(0,(($L93)/(Cap_Tech*$C93*(1-$I93)))-Model!$G$17)))*OTCost_Tech)</f>
        <v>78449.571722688968</v>
      </c>
    </row>
    <row r="94" spans="1:17" x14ac:dyDescent="0.25">
      <c r="A94" s="11">
        <v>90</v>
      </c>
      <c r="B94" s="11" t="str">
        <f t="shared" ca="1" si="12"/>
        <v>Normal</v>
      </c>
      <c r="C94" s="11">
        <f t="shared" ca="1" si="13"/>
        <v>1</v>
      </c>
      <c r="D94" s="11">
        <f t="shared" ca="1" si="14"/>
        <v>0</v>
      </c>
      <c r="E94" s="11">
        <f t="shared" ca="1" si="15"/>
        <v>2</v>
      </c>
      <c r="F94" s="36">
        <f t="shared" ca="1" si="16"/>
        <v>1.0630626825606191</v>
      </c>
      <c r="G94" s="11">
        <f t="shared" ca="1" si="17"/>
        <v>0</v>
      </c>
      <c r="H94" s="11">
        <f t="shared" ca="1" si="18"/>
        <v>6.6902923254665292E-2</v>
      </c>
      <c r="I94" s="11">
        <f t="shared" ca="1" si="19"/>
        <v>5.6628571423443429E-2</v>
      </c>
      <c r="J94" s="11">
        <f t="shared" ca="1" si="20"/>
        <v>100</v>
      </c>
      <c r="K94" s="11">
        <f t="shared" ca="1" si="21"/>
        <v>115</v>
      </c>
      <c r="L94" s="11">
        <f t="shared" ca="1" si="22"/>
        <v>65</v>
      </c>
      <c r="M94" s="11">
        <f ca="1">MAX(MAX(0,($J94*(1+0.5*Acuity_M))-(Model!$G$24*(1+OTCapPct)*(Cap_Doc*$C94*(1-$G94)))),MAX(0,($J94)-(Model!$G$6*(1+OTCapPct)*(Cap_Nurse*$C94*(1-$H94)))),MAX(0,($J94)-(Model!$G$15*(1+OTCapPct)*(Cap_Tech*$C94*(1-$I94)))),MAX(0,$J94-((BedsCurrent+BedsAdded)*ShiftHours*$F94/BedHr_M)),MAX(0,$J94*Acuity_M-(ImgBase+ImgExpOn*ImgExpAdd)),MAX(0,$J94-(LabBase+LabExpOn*LabExpAdd)))</f>
        <v>5</v>
      </c>
      <c r="N94" s="11">
        <f ca="1">MAX(MAX(0,($K94*(1+0.5*Acuity_E))-(Model!$G$25*(1+OTCapPct)*(Cap_Doc*$C94*(1-$G94)))),MAX(0,($K94)-(Model!$G$7*(1+OTCapPct)*(Cap_Nurse*$C94*(1-$H94)))),MAX(0,($K94)-(Model!$G$16*(1+OTCapPct)*(Cap_Tech*$C94*(1-$I94)))),MAX(0,$K94-((BedsCurrent+BedsAdded)*ShiftHours*$F94/BedHr_E)),MAX(0,$K94*Acuity_E-(ImgBase+ImgExpOn*ImgExpAdd)),MAX(0,$K94-(LabBase+LabExpOn*LabExpAdd)))</f>
        <v>20</v>
      </c>
      <c r="O94" s="11">
        <f ca="1">MAX(MAX(0,($L94*(1+0.5*Acuity_N))-(Model!$G$26*(1+OTCapPct)*(Cap_Doc*$C94*(1-$G94)))),MAX(0,($L94)-(Model!$G$8*(1+OTCapPct)*(Cap_Nurse*$C94*(1-$H94)))),MAX(0,($L94)-(Model!$G$17*(1+OTCapPct)*(Cap_Tech*$C94*(1-$I94)))),MAX(0,$L94-((BedsCurrent+BedsAdded)*ShiftHours*$F94/BedHr_N)),MAX(0,$L94*Acuity_N-(ImgBase+ImgExpOn*ImgExpAdd)),MAX(0,$L94-(LabBase+LabExpOn*LabExpAdd)))</f>
        <v>0</v>
      </c>
      <c r="P94" s="11">
        <f t="shared" ca="1" si="23"/>
        <v>25</v>
      </c>
      <c r="Q94" s="17">
        <f ca="1">((MIN(OTCapPct*Model!$G$24,MAX(0,(($J94*(1+0.5*Acuity_M))/(Cap_Doc*$C94*(1-$G94)))-Model!$G$24)))*OTCost_Doc)+((MIN(OTCapPct*Model!$G$6,MAX(0,(($J94)/(Cap_Nurse*$C94*(1-$H94)))-Model!$G$6)))*OTCost_Nurse)+((MIN(OTCapPct*Model!$G$15,MAX(0,(($J94)/(Cap_Tech*$C94*(1-$I94)))-Model!$G$15)))*OTCost_Tech)+((MIN(OTCapPct*Model!$G$25,MAX(0,(($K94*(1+0.5*Acuity_E))/(Cap_Doc*$C94*(1-$G94)))-Model!$G$25)))*OTCost_Doc)+((MIN(OTCapPct*Model!$G$7,MAX(0,(($K94)/(Cap_Nurse*$C94*(1-$H94)))-Model!$G$7)))*OTCost_Nurse)+((MIN(OTCapPct*Model!$G$16,MAX(0,(($K94)/(Cap_Tech*$C94*(1-$I94)))-Model!$G$16)))*OTCost_Tech)+((MIN(OTCapPct*Model!$G$26,MAX(0,(($L94*(1+0.5*Acuity_N))/(Cap_Doc*$C94*(1-$G94)))-Model!$G$26)))*OTCost_Doc)+((MIN(OTCapPct*Model!$G$8,MAX(0,(($L94)/(Cap_Nurse*$C94*(1-$H94)))-Model!$G$8)))*OTCost_Nurse)+((MIN(OTCapPct*Model!$G$17,MAX(0,(($L94)/(Cap_Tech*$C94*(1-$I94)))-Model!$G$17)))*OTCost_Tech)</f>
        <v>37754.801789365607</v>
      </c>
    </row>
    <row r="95" spans="1:17" x14ac:dyDescent="0.25">
      <c r="A95" s="11">
        <v>91</v>
      </c>
      <c r="B95" s="11" t="str">
        <f t="shared" ca="1" si="12"/>
        <v>Normal</v>
      </c>
      <c r="C95" s="11">
        <f t="shared" ca="1" si="13"/>
        <v>1</v>
      </c>
      <c r="D95" s="11">
        <f t="shared" ca="1" si="14"/>
        <v>0</v>
      </c>
      <c r="E95" s="11">
        <f t="shared" ca="1" si="15"/>
        <v>2</v>
      </c>
      <c r="F95" s="36">
        <f t="shared" ca="1" si="16"/>
        <v>1.0698710130518976</v>
      </c>
      <c r="G95" s="11">
        <f t="shared" ca="1" si="17"/>
        <v>0</v>
      </c>
      <c r="H95" s="11">
        <f t="shared" ca="1" si="18"/>
        <v>6.3745913596778198E-2</v>
      </c>
      <c r="I95" s="11">
        <f t="shared" ca="1" si="19"/>
        <v>8.9411249185693709E-2</v>
      </c>
      <c r="J95" s="11">
        <f t="shared" ca="1" si="20"/>
        <v>84</v>
      </c>
      <c r="K95" s="11">
        <f t="shared" ca="1" si="21"/>
        <v>113</v>
      </c>
      <c r="L95" s="11">
        <f t="shared" ca="1" si="22"/>
        <v>89</v>
      </c>
      <c r="M95" s="11">
        <f ca="1">MAX(MAX(0,($J95*(1+0.5*Acuity_M))-(Model!$G$24*(1+OTCapPct)*(Cap_Doc*$C95*(1-$G95)))),MAX(0,($J95)-(Model!$G$6*(1+OTCapPct)*(Cap_Nurse*$C95*(1-$H95)))),MAX(0,($J95)-(Model!$G$15*(1+OTCapPct)*(Cap_Tech*$C95*(1-$I95)))),MAX(0,$J95-((BedsCurrent+BedsAdded)*ShiftHours*$F95/BedHr_M)),MAX(0,$J95*Acuity_M-(ImgBase+ImgExpOn*ImgExpAdd)),MAX(0,$J95-(LabBase+LabExpOn*LabExpAdd)))</f>
        <v>0</v>
      </c>
      <c r="N95" s="11">
        <f ca="1">MAX(MAX(0,($K95*(1+0.5*Acuity_E))-(Model!$G$25*(1+OTCapPct)*(Cap_Doc*$C95*(1-$G95)))),MAX(0,($K95)-(Model!$G$7*(1+OTCapPct)*(Cap_Nurse*$C95*(1-$H95)))),MAX(0,($K95)-(Model!$G$16*(1+OTCapPct)*(Cap_Tech*$C95*(1-$I95)))),MAX(0,$K95-((BedsCurrent+BedsAdded)*ShiftHours*$F95/BedHr_E)),MAX(0,$K95*Acuity_E-(ImgBase+ImgExpOn*ImgExpAdd)),MAX(0,$K95-(LabBase+LabExpOn*LabExpAdd)))</f>
        <v>18</v>
      </c>
      <c r="O95" s="11">
        <f ca="1">MAX(MAX(0,($L95*(1+0.5*Acuity_N))-(Model!$G$26*(1+OTCapPct)*(Cap_Doc*$C95*(1-$G95)))),MAX(0,($L95)-(Model!$G$8*(1+OTCapPct)*(Cap_Nurse*$C95*(1-$H95)))),MAX(0,($L95)-(Model!$G$17*(1+OTCapPct)*(Cap_Tech*$C95*(1-$I95)))),MAX(0,$L95-((BedsCurrent+BedsAdded)*ShiftHours*$F95/BedHr_N)),MAX(0,$L95*Acuity_N-(ImgBase+ImgExpOn*ImgExpAdd)),MAX(0,$L95-(LabBase+LabExpOn*LabExpAdd)))</f>
        <v>12.349999999999994</v>
      </c>
      <c r="P95" s="11">
        <f t="shared" ca="1" si="23"/>
        <v>30.349999999999994</v>
      </c>
      <c r="Q95" s="17">
        <f ca="1">((MIN(OTCapPct*Model!$G$24,MAX(0,(($J95*(1+0.5*Acuity_M))/(Cap_Doc*$C95*(1-$G95)))-Model!$G$24)))*OTCost_Doc)+((MIN(OTCapPct*Model!$G$6,MAX(0,(($J95)/(Cap_Nurse*$C95*(1-$H95)))-Model!$G$6)))*OTCost_Nurse)+((MIN(OTCapPct*Model!$G$15,MAX(0,(($J95)/(Cap_Tech*$C95*(1-$I95)))-Model!$G$15)))*OTCost_Tech)+((MIN(OTCapPct*Model!$G$25,MAX(0,(($K95*(1+0.5*Acuity_E))/(Cap_Doc*$C95*(1-$G95)))-Model!$G$25)))*OTCost_Doc)+((MIN(OTCapPct*Model!$G$7,MAX(0,(($K95)/(Cap_Nurse*$C95*(1-$H95)))-Model!$G$7)))*OTCost_Nurse)+((MIN(OTCapPct*Model!$G$16,MAX(0,(($K95)/(Cap_Tech*$C95*(1-$I95)))-Model!$G$16)))*OTCost_Tech)+((MIN(OTCapPct*Model!$G$26,MAX(0,(($L95*(1+0.5*Acuity_N))/(Cap_Doc*$C95*(1-$G95)))-Model!$G$26)))*OTCost_Doc)+((MIN(OTCapPct*Model!$G$8,MAX(0,(($L95)/(Cap_Nurse*$C95*(1-$H95)))-Model!$G$8)))*OTCost_Nurse)+((MIN(OTCapPct*Model!$G$17,MAX(0,(($L95)/(Cap_Tech*$C95*(1-$I95)))-Model!$G$17)))*OTCost_Tech)</f>
        <v>33615.775271389146</v>
      </c>
    </row>
    <row r="96" spans="1:17" x14ac:dyDescent="0.25">
      <c r="A96" s="11">
        <v>92</v>
      </c>
      <c r="B96" s="11" t="str">
        <f t="shared" ca="1" si="12"/>
        <v>Normal</v>
      </c>
      <c r="C96" s="11">
        <f t="shared" ca="1" si="13"/>
        <v>1</v>
      </c>
      <c r="D96" s="11">
        <f t="shared" ca="1" si="14"/>
        <v>0</v>
      </c>
      <c r="E96" s="11">
        <f t="shared" ca="1" si="15"/>
        <v>1</v>
      </c>
      <c r="F96" s="36">
        <f t="shared" ca="1" si="16"/>
        <v>0.86161420336802907</v>
      </c>
      <c r="G96" s="11">
        <f t="shared" ca="1" si="17"/>
        <v>0.12194543542628664</v>
      </c>
      <c r="H96" s="11">
        <f t="shared" ca="1" si="18"/>
        <v>9.0396893677241005E-2</v>
      </c>
      <c r="I96" s="11">
        <f t="shared" ca="1" si="19"/>
        <v>6.7743624016105231E-2</v>
      </c>
      <c r="J96" s="11">
        <f t="shared" ca="1" si="20"/>
        <v>85</v>
      </c>
      <c r="K96" s="11">
        <f t="shared" ca="1" si="21"/>
        <v>107</v>
      </c>
      <c r="L96" s="11">
        <f t="shared" ca="1" si="22"/>
        <v>75</v>
      </c>
      <c r="M96" s="11">
        <f ca="1">MAX(MAX(0,($J96*(1+0.5*Acuity_M))-(Model!$G$24*(1+OTCapPct)*(Cap_Doc*$C96*(1-$G96)))),MAX(0,($J96)-(Model!$G$6*(1+OTCapPct)*(Cap_Nurse*$C96*(1-$H96)))),MAX(0,($J96)-(Model!$G$15*(1+OTCapPct)*(Cap_Tech*$C96*(1-$I96)))),MAX(0,$J96-((BedsCurrent+BedsAdded)*ShiftHours*$F96/BedHr_M)),MAX(0,$J96*Acuity_M-(ImgBase+ImgExpOn*ImgExpAdd)),MAX(0,$J96-(LabBase+LabExpOn*LabExpAdd)))</f>
        <v>0</v>
      </c>
      <c r="N96" s="11">
        <f ca="1">MAX(MAX(0,($K96*(1+0.5*Acuity_E))-(Model!$G$25*(1+OTCapPct)*(Cap_Doc*$C96*(1-$G96)))),MAX(0,($K96)-(Model!$G$7*(1+OTCapPct)*(Cap_Nurse*$C96*(1-$H96)))),MAX(0,($K96)-(Model!$G$16*(1+OTCapPct)*(Cap_Tech*$C96*(1-$I96)))),MAX(0,$K96-((BedsCurrent+BedsAdded)*ShiftHours*$F96/BedHr_E)),MAX(0,$K96*Acuity_E-(ImgBase+ImgExpOn*ImgExpAdd)),MAX(0,$K96-(LabBase+LabExpOn*LabExpAdd)))</f>
        <v>13.25637467355844</v>
      </c>
      <c r="O96" s="11">
        <f ca="1">MAX(MAX(0,($L96*(1+0.5*Acuity_N))-(Model!$G$26*(1+OTCapPct)*(Cap_Doc*$C96*(1-$G96)))),MAX(0,($L96)-(Model!$G$8*(1+OTCapPct)*(Cap_Nurse*$C96*(1-$H96)))),MAX(0,($L96)-(Model!$G$17*(1+OTCapPct)*(Cap_Tech*$C96*(1-$I96)))),MAX(0,$L96-((BedsCurrent+BedsAdded)*ShiftHours*$F96/BedHr_N)),MAX(0,$L96*Acuity_N-(ImgBase+ImgExpOn*ImgExpAdd)),MAX(0,$L96-(LabBase+LabExpOn*LabExpAdd)))</f>
        <v>7.2250891883657999</v>
      </c>
      <c r="P96" s="11">
        <f t="shared" ca="1" si="23"/>
        <v>20.48146386192424</v>
      </c>
      <c r="Q96" s="17">
        <f ca="1">((MIN(OTCapPct*Model!$G$24,MAX(0,(($J96*(1+0.5*Acuity_M))/(Cap_Doc*$C96*(1-$G96)))-Model!$G$24)))*OTCost_Doc)+((MIN(OTCapPct*Model!$G$6,MAX(0,(($J96)/(Cap_Nurse*$C96*(1-$H96)))-Model!$G$6)))*OTCost_Nurse)+((MIN(OTCapPct*Model!$G$15,MAX(0,(($J96)/(Cap_Tech*$C96*(1-$I96)))-Model!$G$15)))*OTCost_Tech)+((MIN(OTCapPct*Model!$G$25,MAX(0,(($K96*(1+0.5*Acuity_E))/(Cap_Doc*$C96*(1-$G96)))-Model!$G$25)))*OTCost_Doc)+((MIN(OTCapPct*Model!$G$7,MAX(0,(($K96)/(Cap_Nurse*$C96*(1-$H96)))-Model!$G$7)))*OTCost_Nurse)+((MIN(OTCapPct*Model!$G$16,MAX(0,(($K96)/(Cap_Tech*$C96*(1-$I96)))-Model!$G$16)))*OTCost_Tech)+((MIN(OTCapPct*Model!$G$26,MAX(0,(($L96*(1+0.5*Acuity_N))/(Cap_Doc*$C96*(1-$G96)))-Model!$G$26)))*OTCost_Doc)+((MIN(OTCapPct*Model!$G$8,MAX(0,(($L96)/(Cap_Nurse*$C96*(1-$H96)))-Model!$G$8)))*OTCost_Nurse)+((MIN(OTCapPct*Model!$G$17,MAX(0,(($L96)/(Cap_Tech*$C96*(1-$I96)))-Model!$G$17)))*OTCost_Tech)</f>
        <v>47256.414887523824</v>
      </c>
    </row>
    <row r="97" spans="1:17" x14ac:dyDescent="0.25">
      <c r="A97" s="11">
        <v>93</v>
      </c>
      <c r="B97" s="11" t="str">
        <f t="shared" ca="1" si="12"/>
        <v>Normal</v>
      </c>
      <c r="C97" s="11">
        <f t="shared" ca="1" si="13"/>
        <v>1</v>
      </c>
      <c r="D97" s="11">
        <f t="shared" ca="1" si="14"/>
        <v>0</v>
      </c>
      <c r="E97" s="11">
        <f t="shared" ca="1" si="15"/>
        <v>2</v>
      </c>
      <c r="F97" s="36">
        <f t="shared" ca="1" si="16"/>
        <v>1.1065994112366111</v>
      </c>
      <c r="G97" s="11">
        <f t="shared" ca="1" si="17"/>
        <v>9.7619148719537557E-3</v>
      </c>
      <c r="H97" s="11">
        <f t="shared" ca="1" si="18"/>
        <v>3.6366111075574435E-2</v>
      </c>
      <c r="I97" s="11">
        <f t="shared" ca="1" si="19"/>
        <v>4.2529430433962762E-2</v>
      </c>
      <c r="J97" s="11">
        <f t="shared" ca="1" si="20"/>
        <v>112</v>
      </c>
      <c r="K97" s="11">
        <f t="shared" ca="1" si="21"/>
        <v>107</v>
      </c>
      <c r="L97" s="11">
        <f t="shared" ca="1" si="22"/>
        <v>56</v>
      </c>
      <c r="M97" s="11">
        <f ca="1">MAX(MAX(0,($J97*(1+0.5*Acuity_M))-(Model!$G$24*(1+OTCapPct)*(Cap_Doc*$C97*(1-$G97)))),MAX(0,($J97)-(Model!$G$6*(1+OTCapPct)*(Cap_Nurse*$C97*(1-$H97)))),MAX(0,($J97)-(Model!$G$15*(1+OTCapPct)*(Cap_Tech*$C97*(1-$I97)))),MAX(0,$J97-((BedsCurrent+BedsAdded)*ShiftHours*$F97/BedHr_M)),MAX(0,$J97*Acuity_M-(ImgBase+ImgExpOn*ImgExpAdd)),MAX(0,$J97-(LabBase+LabExpOn*LabExpAdd)))</f>
        <v>17</v>
      </c>
      <c r="N97" s="11">
        <f ca="1">MAX(MAX(0,($K97*(1+0.5*Acuity_E))-(Model!$G$25*(1+OTCapPct)*(Cap_Doc*$C97*(1-$G97)))),MAX(0,($K97)-(Model!$G$7*(1+OTCapPct)*(Cap_Nurse*$C97*(1-$H97)))),MAX(0,($K97)-(Model!$G$16*(1+OTCapPct)*(Cap_Tech*$C97*(1-$I97)))),MAX(0,$K97-((BedsCurrent+BedsAdded)*ShiftHours*$F97/BedHr_E)),MAX(0,$K97*Acuity_E-(ImgBase+ImgExpOn*ImgExpAdd)),MAX(0,$K97-(LabBase+LabExpOn*LabExpAdd)))</f>
        <v>12</v>
      </c>
      <c r="O97" s="11">
        <f ca="1">MAX(MAX(0,($L97*(1+0.5*Acuity_N))-(Model!$G$26*(1+OTCapPct)*(Cap_Doc*$C97*(1-$G97)))),MAX(0,($L97)-(Model!$G$8*(1+OTCapPct)*(Cap_Nurse*$C97*(1-$H97)))),MAX(0,($L97)-(Model!$G$17*(1+OTCapPct)*(Cap_Tech*$C97*(1-$I97)))),MAX(0,$L97-((BedsCurrent+BedsAdded)*ShiftHours*$F97/BedHr_N)),MAX(0,$L97*Acuity_N-(ImgBase+ImgExpOn*ImgExpAdd)),MAX(0,$L97-(LabBase+LabExpOn*LabExpAdd)))</f>
        <v>0</v>
      </c>
      <c r="P97" s="11">
        <f t="shared" ca="1" si="23"/>
        <v>29</v>
      </c>
      <c r="Q97" s="17">
        <f ca="1">((MIN(OTCapPct*Model!$G$24,MAX(0,(($J97*(1+0.5*Acuity_M))/(Cap_Doc*$C97*(1-$G97)))-Model!$G$24)))*OTCost_Doc)+((MIN(OTCapPct*Model!$G$6,MAX(0,(($J97)/(Cap_Nurse*$C97*(1-$H97)))-Model!$G$6)))*OTCost_Nurse)+((MIN(OTCapPct*Model!$G$15,MAX(0,(($J97)/(Cap_Tech*$C97*(1-$I97)))-Model!$G$15)))*OTCost_Tech)+((MIN(OTCapPct*Model!$G$25,MAX(0,(($K97*(1+0.5*Acuity_E))/(Cap_Doc*$C97*(1-$G97)))-Model!$G$25)))*OTCost_Doc)+((MIN(OTCapPct*Model!$G$7,MAX(0,(($K97)/(Cap_Nurse*$C97*(1-$H97)))-Model!$G$7)))*OTCost_Nurse)+((MIN(OTCapPct*Model!$G$16,MAX(0,(($K97)/(Cap_Tech*$C97*(1-$I97)))-Model!$G$16)))*OTCost_Tech)+((MIN(OTCapPct*Model!$G$26,MAX(0,(($L97*(1+0.5*Acuity_N))/(Cap_Doc*$C97*(1-$G97)))-Model!$G$26)))*OTCost_Doc)+((MIN(OTCapPct*Model!$G$8,MAX(0,(($L97)/(Cap_Nurse*$C97*(1-$H97)))-Model!$G$8)))*OTCost_Nurse)+((MIN(OTCapPct*Model!$G$17,MAX(0,(($L97)/(Cap_Tech*$C97*(1-$I97)))-Model!$G$17)))*OTCost_Tech)</f>
        <v>32000</v>
      </c>
    </row>
    <row r="98" spans="1:17" x14ac:dyDescent="0.25">
      <c r="A98" s="11">
        <v>94</v>
      </c>
      <c r="B98" s="11" t="str">
        <f t="shared" ca="1" si="12"/>
        <v>Normal</v>
      </c>
      <c r="C98" s="11">
        <f t="shared" ca="1" si="13"/>
        <v>1</v>
      </c>
      <c r="D98" s="11">
        <f t="shared" ca="1" si="14"/>
        <v>0</v>
      </c>
      <c r="E98" s="11">
        <f t="shared" ca="1" si="15"/>
        <v>3</v>
      </c>
      <c r="F98" s="36">
        <f t="shared" ca="1" si="16"/>
        <v>1.0464394964599431</v>
      </c>
      <c r="G98" s="11">
        <f t="shared" ca="1" si="17"/>
        <v>6.5350310176414725E-2</v>
      </c>
      <c r="H98" s="11">
        <f t="shared" ca="1" si="18"/>
        <v>2.5141169220187276E-2</v>
      </c>
      <c r="I98" s="11">
        <f t="shared" ca="1" si="19"/>
        <v>0.1068381964172469</v>
      </c>
      <c r="J98" s="11">
        <f t="shared" ca="1" si="20"/>
        <v>75</v>
      </c>
      <c r="K98" s="11">
        <f t="shared" ca="1" si="21"/>
        <v>88</v>
      </c>
      <c r="L98" s="11">
        <f t="shared" ca="1" si="22"/>
        <v>63</v>
      </c>
      <c r="M98" s="11">
        <f ca="1">MAX(MAX(0,($J98*(1+0.5*Acuity_M))-(Model!$G$24*(1+OTCapPct)*(Cap_Doc*$C98*(1-$G98)))),MAX(0,($J98)-(Model!$G$6*(1+OTCapPct)*(Cap_Nurse*$C98*(1-$H98)))),MAX(0,($J98)-(Model!$G$15*(1+OTCapPct)*(Cap_Tech*$C98*(1-$I98)))),MAX(0,$J98-((BedsCurrent+BedsAdded)*ShiftHours*$F98/BedHr_M)),MAX(0,$J98*Acuity_M-(ImgBase+ImgExpOn*ImgExpAdd)),MAX(0,$J98-(LabBase+LabExpOn*LabExpAdd)))</f>
        <v>0</v>
      </c>
      <c r="N98" s="11">
        <f ca="1">MAX(MAX(0,($K98*(1+0.5*Acuity_E))-(Model!$G$25*(1+OTCapPct)*(Cap_Doc*$C98*(1-$G98)))),MAX(0,($K98)-(Model!$G$7*(1+OTCapPct)*(Cap_Nurse*$C98*(1-$H98)))),MAX(0,($K98)-(Model!$G$16*(1+OTCapPct)*(Cap_Tech*$C98*(1-$I98)))),MAX(0,$K98-((BedsCurrent+BedsAdded)*ShiftHours*$F98/BedHr_E)),MAX(0,$K98*Acuity_E-(ImgBase+ImgExpOn*ImgExpAdd)),MAX(0,$K98-(LabBase+LabExpOn*LabExpAdd)))</f>
        <v>0</v>
      </c>
      <c r="O98" s="11">
        <f ca="1">MAX(MAX(0,($L98*(1+0.5*Acuity_N))-(Model!$G$26*(1+OTCapPct)*(Cap_Doc*$C98*(1-$G98)))),MAX(0,($L98)-(Model!$G$8*(1+OTCapPct)*(Cap_Nurse*$C98*(1-$H98)))),MAX(0,($L98)-(Model!$G$17*(1+OTCapPct)*(Cap_Tech*$C98*(1-$I98)))),MAX(0,$L98-((BedsCurrent+BedsAdded)*ShiftHours*$F98/BedHr_N)),MAX(0,$L98*Acuity_N-(ImgBase+ImgExpOn*ImgExpAdd)),MAX(0,$L98-(LabBase+LabExpOn*LabExpAdd)))</f>
        <v>0</v>
      </c>
      <c r="P98" s="11">
        <f t="shared" ca="1" si="23"/>
        <v>0</v>
      </c>
      <c r="Q98" s="17">
        <f ca="1">((MIN(OTCapPct*Model!$G$24,MAX(0,(($J98*(1+0.5*Acuity_M))/(Cap_Doc*$C98*(1-$G98)))-Model!$G$24)))*OTCost_Doc)+((MIN(OTCapPct*Model!$G$6,MAX(0,(($J98)/(Cap_Nurse*$C98*(1-$H98)))-Model!$G$6)))*OTCost_Nurse)+((MIN(OTCapPct*Model!$G$15,MAX(0,(($J98)/(Cap_Tech*$C98*(1-$I98)))-Model!$G$15)))*OTCost_Tech)+((MIN(OTCapPct*Model!$G$25,MAX(0,(($K98*(1+0.5*Acuity_E))/(Cap_Doc*$C98*(1-$G98)))-Model!$G$25)))*OTCost_Doc)+((MIN(OTCapPct*Model!$G$7,MAX(0,(($K98)/(Cap_Nurse*$C98*(1-$H98)))-Model!$G$7)))*OTCost_Nurse)+((MIN(OTCapPct*Model!$G$16,MAX(0,(($K98)/(Cap_Tech*$C98*(1-$I98)))-Model!$G$16)))*OTCost_Tech)+((MIN(OTCapPct*Model!$G$26,MAX(0,(($L98*(1+0.5*Acuity_N))/(Cap_Doc*$C98*(1-$G98)))-Model!$G$26)))*OTCost_Doc)+((MIN(OTCapPct*Model!$G$8,MAX(0,(($L98)/(Cap_Nurse*$C98*(1-$H98)))-Model!$G$8)))*OTCost_Nurse)+((MIN(OTCapPct*Model!$G$17,MAX(0,(($L98)/(Cap_Tech*$C98*(1-$I98)))-Model!$G$17)))*OTCost_Tech)</f>
        <v>4136.7549699354859</v>
      </c>
    </row>
    <row r="99" spans="1:17" x14ac:dyDescent="0.25">
      <c r="A99" s="11">
        <v>95</v>
      </c>
      <c r="B99" s="11" t="str">
        <f t="shared" ca="1" si="12"/>
        <v>Normal</v>
      </c>
      <c r="C99" s="11">
        <f t="shared" ca="1" si="13"/>
        <v>1</v>
      </c>
      <c r="D99" s="11">
        <f t="shared" ca="1" si="14"/>
        <v>0</v>
      </c>
      <c r="E99" s="11">
        <f t="shared" ca="1" si="15"/>
        <v>1</v>
      </c>
      <c r="F99" s="36">
        <f t="shared" ca="1" si="16"/>
        <v>0.81500510872196208</v>
      </c>
      <c r="G99" s="11">
        <f t="shared" ca="1" si="17"/>
        <v>0</v>
      </c>
      <c r="H99" s="11">
        <f t="shared" ca="1" si="18"/>
        <v>0</v>
      </c>
      <c r="I99" s="11">
        <f t="shared" ca="1" si="19"/>
        <v>4.7279793225710832E-2</v>
      </c>
      <c r="J99" s="11">
        <f t="shared" ca="1" si="20"/>
        <v>105</v>
      </c>
      <c r="K99" s="11">
        <f t="shared" ca="1" si="21"/>
        <v>95</v>
      </c>
      <c r="L99" s="11">
        <f t="shared" ca="1" si="22"/>
        <v>58</v>
      </c>
      <c r="M99" s="11">
        <f ca="1">MAX(MAX(0,($J99*(1+0.5*Acuity_M))-(Model!$G$24*(1+OTCapPct)*(Cap_Doc*$C99*(1-$G99)))),MAX(0,($J99)-(Model!$G$6*(1+OTCapPct)*(Cap_Nurse*$C99*(1-$H99)))),MAX(0,($J99)-(Model!$G$15*(1+OTCapPct)*(Cap_Tech*$C99*(1-$I99)))),MAX(0,$J99-((BedsCurrent+BedsAdded)*ShiftHours*$F99/BedHr_M)),MAX(0,$J99*Acuity_M-(ImgBase+ImgExpOn*ImgExpAdd)),MAX(0,$J99-(LabBase+LabExpOn*LabExpAdd)))</f>
        <v>10</v>
      </c>
      <c r="N99" s="11">
        <f ca="1">MAX(MAX(0,($K99*(1+0.5*Acuity_E))-(Model!$G$25*(1+OTCapPct)*(Cap_Doc*$C99*(1-$G99)))),MAX(0,($K99)-(Model!$G$7*(1+OTCapPct)*(Cap_Nurse*$C99*(1-$H99)))),MAX(0,($K99)-(Model!$G$16*(1+OTCapPct)*(Cap_Tech*$C99*(1-$I99)))),MAX(0,$K99-((BedsCurrent+BedsAdded)*ShiftHours*$F99/BedHr_E)),MAX(0,$K99*Acuity_E-(ImgBase+ImgExpOn*ImgExpAdd)),MAX(0,$K99-(LabBase+LabExpOn*LabExpAdd)))</f>
        <v>6.32744417105053</v>
      </c>
      <c r="O99" s="11">
        <f ca="1">MAX(MAX(0,($L99*(1+0.5*Acuity_N))-(Model!$G$26*(1+OTCapPct)*(Cap_Doc*$C99*(1-$G99)))),MAX(0,($L99)-(Model!$G$8*(1+OTCapPct)*(Cap_Nurse*$C99*(1-$H99)))),MAX(0,($L99)-(Model!$G$17*(1+OTCapPct)*(Cap_Tech*$C99*(1-$I99)))),MAX(0,$L99-((BedsCurrent+BedsAdded)*ShiftHours*$F99/BedHr_N)),MAX(0,$L99*Acuity_N-(ImgBase+ImgExpOn*ImgExpAdd)),MAX(0,$L99-(LabBase+LabExpOn*LabExpAdd)))</f>
        <v>0</v>
      </c>
      <c r="P99" s="11">
        <f t="shared" ca="1" si="23"/>
        <v>16.32744417105053</v>
      </c>
      <c r="Q99" s="17">
        <f ca="1">((MIN(OTCapPct*Model!$G$24,MAX(0,(($J99*(1+0.5*Acuity_M))/(Cap_Doc*$C99*(1-$G99)))-Model!$G$24)))*OTCost_Doc)+((MIN(OTCapPct*Model!$G$6,MAX(0,(($J99)/(Cap_Nurse*$C99*(1-$H99)))-Model!$G$6)))*OTCost_Nurse)+((MIN(OTCapPct*Model!$G$15,MAX(0,(($J99)/(Cap_Tech*$C99*(1-$I99)))-Model!$G$15)))*OTCost_Tech)+((MIN(OTCapPct*Model!$G$25,MAX(0,(($K99*(1+0.5*Acuity_E))/(Cap_Doc*$C99*(1-$G99)))-Model!$G$25)))*OTCost_Doc)+((MIN(OTCapPct*Model!$G$7,MAX(0,(($K99)/(Cap_Nurse*$C99*(1-$H99)))-Model!$G$7)))*OTCost_Nurse)+((MIN(OTCapPct*Model!$G$16,MAX(0,(($K99)/(Cap_Tech*$C99*(1-$I99)))-Model!$G$16)))*OTCost_Tech)+((MIN(OTCapPct*Model!$G$26,MAX(0,(($L99*(1+0.5*Acuity_N))/(Cap_Doc*$C99*(1-$G99)))-Model!$G$26)))*OTCost_Doc)+((MIN(OTCapPct*Model!$G$8,MAX(0,(($L99)/(Cap_Nurse*$C99*(1-$H99)))-Model!$G$8)))*OTCost_Nurse)+((MIN(OTCapPct*Model!$G$17,MAX(0,(($L99)/(Cap_Tech*$C99*(1-$I99)))-Model!$G$17)))*OTCost_Tech)</f>
        <v>31618.456841333649</v>
      </c>
    </row>
    <row r="100" spans="1:17" x14ac:dyDescent="0.25">
      <c r="A100" s="11">
        <v>96</v>
      </c>
      <c r="B100" s="11" t="str">
        <f t="shared" ca="1" si="12"/>
        <v>Normal</v>
      </c>
      <c r="C100" s="11">
        <f t="shared" ca="1" si="13"/>
        <v>1</v>
      </c>
      <c r="D100" s="11">
        <f t="shared" ca="1" si="14"/>
        <v>1</v>
      </c>
      <c r="E100" s="11">
        <f t="shared" ca="1" si="15"/>
        <v>3</v>
      </c>
      <c r="F100" s="36">
        <f t="shared" ca="1" si="16"/>
        <v>1.0787703834310483</v>
      </c>
      <c r="G100" s="11">
        <f t="shared" ca="1" si="17"/>
        <v>7.4321703800134864E-2</v>
      </c>
      <c r="H100" s="11">
        <f t="shared" ca="1" si="18"/>
        <v>7.2403218467811045E-3</v>
      </c>
      <c r="I100" s="11">
        <f t="shared" ca="1" si="19"/>
        <v>2.2315106553190092E-2</v>
      </c>
      <c r="J100" s="11">
        <f t="shared" ca="1" si="20"/>
        <v>82</v>
      </c>
      <c r="K100" s="11">
        <f t="shared" ca="1" si="21"/>
        <v>106</v>
      </c>
      <c r="L100" s="11">
        <f t="shared" ca="1" si="22"/>
        <v>94</v>
      </c>
      <c r="M100" s="11">
        <f ca="1">MAX(MAX(0,($J100*(1+0.5*Acuity_M))-(Model!$G$24*(1+OTCapPct)*(Cap_Doc*$C100*(1-$G100)))),MAX(0,($J100)-(Model!$G$6*(1+OTCapPct)*(Cap_Nurse*$C100*(1-$H100)))),MAX(0,($J100)-(Model!$G$15*(1+OTCapPct)*(Cap_Tech*$C100*(1-$I100)))),MAX(0,$J100-((BedsCurrent+BedsAdded)*ShiftHours*$F100/BedHr_M)),MAX(0,$J100*Acuity_M-(ImgBase+ImgExpOn*ImgExpAdd)),MAX(0,$J100-(LabBase+LabExpOn*LabExpAdd)))</f>
        <v>0</v>
      </c>
      <c r="N100" s="11">
        <f ca="1">MAX(MAX(0,($K100*(1+0.5*Acuity_E))-(Model!$G$25*(1+OTCapPct)*(Cap_Doc*$C100*(1-$G100)))),MAX(0,($K100)-(Model!$G$7*(1+OTCapPct)*(Cap_Nurse*$C100*(1-$H100)))),MAX(0,($K100)-(Model!$G$16*(1+OTCapPct)*(Cap_Tech*$C100*(1-$I100)))),MAX(0,$K100-((BedsCurrent+BedsAdded)*ShiftHours*$F100/BedHr_E)),MAX(0,$K100*Acuity_E-(ImgBase+ImgExpOn*ImgExpAdd)),MAX(0,$K100-(LabBase+LabExpOn*LabExpAdd)))</f>
        <v>11</v>
      </c>
      <c r="O100" s="11">
        <f ca="1">MAX(MAX(0,($L100*(1+0.5*Acuity_N))-(Model!$G$26*(1+OTCapPct)*(Cap_Doc*$C100*(1-$G100)))),MAX(0,($L100)-(Model!$G$8*(1+OTCapPct)*(Cap_Nurse*$C100*(1-$H100)))),MAX(0,($L100)-(Model!$G$17*(1+OTCapPct)*(Cap_Tech*$C100*(1-$I100)))),MAX(0,$L100-((BedsCurrent+BedsAdded)*ShiftHours*$F100/BedHr_N)),MAX(0,$L100*Acuity_N-(ImgBase+ImgExpOn*ImgExpAdd)),MAX(0,$L100-(LabBase+LabExpOn*LabExpAdd)))</f>
        <v>24.788953342012121</v>
      </c>
      <c r="P100" s="11">
        <f t="shared" ca="1" si="23"/>
        <v>35.788953342012121</v>
      </c>
      <c r="Q100" s="17">
        <f ca="1">((MIN(OTCapPct*Model!$G$24,MAX(0,(($J100*(1+0.5*Acuity_M))/(Cap_Doc*$C100*(1-$G100)))-Model!$G$24)))*OTCost_Doc)+((MIN(OTCapPct*Model!$G$6,MAX(0,(($J100)/(Cap_Nurse*$C100*(1-$H100)))-Model!$G$6)))*OTCost_Nurse)+((MIN(OTCapPct*Model!$G$15,MAX(0,(($J100)/(Cap_Tech*$C100*(1-$I100)))-Model!$G$15)))*OTCost_Tech)+((MIN(OTCapPct*Model!$G$25,MAX(0,(($K100*(1+0.5*Acuity_E))/(Cap_Doc*$C100*(1-$G100)))-Model!$G$25)))*OTCost_Doc)+((MIN(OTCapPct*Model!$G$7,MAX(0,(($K100)/(Cap_Nurse*$C100*(1-$H100)))-Model!$G$7)))*OTCost_Nurse)+((MIN(OTCapPct*Model!$G$16,MAX(0,(($K100)/(Cap_Tech*$C100*(1-$I100)))-Model!$G$16)))*OTCost_Tech)+((MIN(OTCapPct*Model!$G$26,MAX(0,(($L100*(1+0.5*Acuity_N))/(Cap_Doc*$C100*(1-$G100)))-Model!$G$26)))*OTCost_Doc)+((MIN(OTCapPct*Model!$G$8,MAX(0,(($L100)/(Cap_Nurse*$C100*(1-$H100)))-Model!$G$8)))*OTCost_Nurse)+((MIN(OTCapPct*Model!$G$17,MAX(0,(($L100)/(Cap_Tech*$C100*(1-$I100)))-Model!$G$17)))*OTCost_Tech)</f>
        <v>33926.75626601866</v>
      </c>
    </row>
    <row r="101" spans="1:17" x14ac:dyDescent="0.25">
      <c r="A101" s="11">
        <v>97</v>
      </c>
      <c r="B101" s="11" t="str">
        <f t="shared" ca="1" si="12"/>
        <v>Normal</v>
      </c>
      <c r="C101" s="11">
        <f t="shared" ca="1" si="13"/>
        <v>1</v>
      </c>
      <c r="D101" s="11">
        <f t="shared" ca="1" si="14"/>
        <v>0</v>
      </c>
      <c r="E101" s="11">
        <f t="shared" ca="1" si="15"/>
        <v>3</v>
      </c>
      <c r="F101" s="36">
        <f t="shared" ca="1" si="16"/>
        <v>0.89226612667390404</v>
      </c>
      <c r="G101" s="11">
        <f t="shared" ca="1" si="17"/>
        <v>3.0672703970684199E-2</v>
      </c>
      <c r="H101" s="11">
        <f t="shared" ca="1" si="18"/>
        <v>3.7676698726994931E-2</v>
      </c>
      <c r="I101" s="11">
        <f t="shared" ca="1" si="19"/>
        <v>5.518626637266185E-2</v>
      </c>
      <c r="J101" s="11">
        <f t="shared" ca="1" si="20"/>
        <v>79</v>
      </c>
      <c r="K101" s="11">
        <f t="shared" ca="1" si="21"/>
        <v>130</v>
      </c>
      <c r="L101" s="11">
        <f t="shared" ca="1" si="22"/>
        <v>64</v>
      </c>
      <c r="M101" s="11">
        <f ca="1">MAX(MAX(0,($J101*(1+0.5*Acuity_M))-(Model!$G$24*(1+OTCapPct)*(Cap_Doc*$C101*(1-$G101)))),MAX(0,($J101)-(Model!$G$6*(1+OTCapPct)*(Cap_Nurse*$C101*(1-$H101)))),MAX(0,($J101)-(Model!$G$15*(1+OTCapPct)*(Cap_Tech*$C101*(1-$I101)))),MAX(0,$J101-((BedsCurrent+BedsAdded)*ShiftHours*$F101/BedHr_M)),MAX(0,$J101*Acuity_M-(ImgBase+ImgExpOn*ImgExpAdd)),MAX(0,$J101-(LabBase+LabExpOn*LabExpAdd)))</f>
        <v>0</v>
      </c>
      <c r="N101" s="11">
        <f ca="1">MAX(MAX(0,($K101*(1+0.5*Acuity_E))-(Model!$G$25*(1+OTCapPct)*(Cap_Doc*$C101*(1-$G101)))),MAX(0,($K101)-(Model!$G$7*(1+OTCapPct)*(Cap_Nurse*$C101*(1-$H101)))),MAX(0,($K101)-(Model!$G$16*(1+OTCapPct)*(Cap_Tech*$C101*(1-$I101)))),MAX(0,$K101-((BedsCurrent+BedsAdded)*ShiftHours*$F101/BedHr_E)),MAX(0,$K101*Acuity_E-(ImgBase+ImgExpOn*ImgExpAdd)),MAX(0,$K101-(LabBase+LabExpOn*LabExpAdd)))</f>
        <v>35</v>
      </c>
      <c r="O101" s="11">
        <f ca="1">MAX(MAX(0,($L101*(1+0.5*Acuity_N))-(Model!$G$26*(1+OTCapPct)*(Cap_Doc*$C101*(1-$G101)))),MAX(0,($L101)-(Model!$G$8*(1+OTCapPct)*(Cap_Nurse*$C101*(1-$H101)))),MAX(0,($L101)-(Model!$G$17*(1+OTCapPct)*(Cap_Tech*$C101*(1-$I101)))),MAX(0,$L101-((BedsCurrent+BedsAdded)*ShiftHours*$F101/BedHr_N)),MAX(0,$L101*Acuity_N-(ImgBase+ImgExpOn*ImgExpAdd)),MAX(0,$L101-(LabBase+LabExpOn*LabExpAdd)))</f>
        <v>0</v>
      </c>
      <c r="P101" s="11">
        <f t="shared" ca="1" si="23"/>
        <v>35</v>
      </c>
      <c r="Q101" s="17">
        <f ca="1">((MIN(OTCapPct*Model!$G$24,MAX(0,(($J101*(1+0.5*Acuity_M))/(Cap_Doc*$C101*(1-$G101)))-Model!$G$24)))*OTCost_Doc)+((MIN(OTCapPct*Model!$G$6,MAX(0,(($J101)/(Cap_Nurse*$C101*(1-$H101)))-Model!$G$6)))*OTCost_Nurse)+((MIN(OTCapPct*Model!$G$15,MAX(0,(($J101)/(Cap_Tech*$C101*(1-$I101)))-Model!$G$15)))*OTCost_Tech)+((MIN(OTCapPct*Model!$G$25,MAX(0,(($K101*(1+0.5*Acuity_E))/(Cap_Doc*$C101*(1-$G101)))-Model!$G$25)))*OTCost_Doc)+((MIN(OTCapPct*Model!$G$7,MAX(0,(($K101)/(Cap_Nurse*$C101*(1-$H101)))-Model!$G$7)))*OTCost_Nurse)+((MIN(OTCapPct*Model!$G$16,MAX(0,(($K101)/(Cap_Tech*$C101*(1-$I101)))-Model!$G$16)))*OTCost_Tech)+((MIN(OTCapPct*Model!$G$26,MAX(0,(($L101*(1+0.5*Acuity_N))/(Cap_Doc*$C101*(1-$G101)))-Model!$G$26)))*OTCost_Doc)+((MIN(OTCapPct*Model!$G$8,MAX(0,(($L101)/(Cap_Nurse*$C101*(1-$H101)))-Model!$G$8)))*OTCost_Nurse)+((MIN(OTCapPct*Model!$G$17,MAX(0,(($L101)/(Cap_Tech*$C101*(1-$I101)))-Model!$G$17)))*OTCost_Tech)</f>
        <v>34568.277480851022</v>
      </c>
    </row>
    <row r="102" spans="1:17" x14ac:dyDescent="0.25">
      <c r="A102" s="11">
        <v>98</v>
      </c>
      <c r="B102" s="11" t="str">
        <f t="shared" ca="1" si="12"/>
        <v>Normal</v>
      </c>
      <c r="C102" s="11">
        <f t="shared" ca="1" si="13"/>
        <v>1</v>
      </c>
      <c r="D102" s="11">
        <f t="shared" ca="1" si="14"/>
        <v>0</v>
      </c>
      <c r="E102" s="11">
        <f t="shared" ca="1" si="15"/>
        <v>3</v>
      </c>
      <c r="F102" s="36">
        <f t="shared" ca="1" si="16"/>
        <v>0.8066443633804552</v>
      </c>
      <c r="G102" s="11">
        <f t="shared" ca="1" si="17"/>
        <v>9.5877780144232844E-2</v>
      </c>
      <c r="H102" s="11">
        <f t="shared" ca="1" si="18"/>
        <v>0.1119847455993165</v>
      </c>
      <c r="I102" s="11">
        <f t="shared" ca="1" si="19"/>
        <v>1.2106122189773375E-2</v>
      </c>
      <c r="J102" s="11">
        <f t="shared" ca="1" si="20"/>
        <v>62</v>
      </c>
      <c r="K102" s="11">
        <f t="shared" ca="1" si="21"/>
        <v>124</v>
      </c>
      <c r="L102" s="11">
        <f t="shared" ca="1" si="22"/>
        <v>52</v>
      </c>
      <c r="M102" s="11">
        <f ca="1">MAX(MAX(0,($J102*(1+0.5*Acuity_M))-(Model!$G$24*(1+OTCapPct)*(Cap_Doc*$C102*(1-$G102)))),MAX(0,($J102)-(Model!$G$6*(1+OTCapPct)*(Cap_Nurse*$C102*(1-$H102)))),MAX(0,($J102)-(Model!$G$15*(1+OTCapPct)*(Cap_Tech*$C102*(1-$I102)))),MAX(0,$J102-((BedsCurrent+BedsAdded)*ShiftHours*$F102/BedHr_M)),MAX(0,$J102*Acuity_M-(ImgBase+ImgExpOn*ImgExpAdd)),MAX(0,$J102-(LabBase+LabExpOn*LabExpAdd)))</f>
        <v>0</v>
      </c>
      <c r="N102" s="11">
        <f ca="1">MAX(MAX(0,($K102*(1+0.5*Acuity_E))-(Model!$G$25*(1+OTCapPct)*(Cap_Doc*$C102*(1-$G102)))),MAX(0,($K102)-(Model!$G$7*(1+OTCapPct)*(Cap_Nurse*$C102*(1-$H102)))),MAX(0,($K102)-(Model!$G$16*(1+OTCapPct)*(Cap_Tech*$C102*(1-$I102)))),MAX(0,$K102-((BedsCurrent+BedsAdded)*ShiftHours*$F102/BedHr_E)),MAX(0,$K102*Acuity_E-(ImgBase+ImgExpOn*ImgExpAdd)),MAX(0,$K102-(LabBase+LabExpOn*LabExpAdd)))</f>
        <v>36.237093264206479</v>
      </c>
      <c r="O102" s="11">
        <f ca="1">MAX(MAX(0,($L102*(1+0.5*Acuity_N))-(Model!$G$26*(1+OTCapPct)*(Cap_Doc*$C102*(1-$G102)))),MAX(0,($L102)-(Model!$G$8*(1+OTCapPct)*(Cap_Nurse*$C102*(1-$H102)))),MAX(0,($L102)-(Model!$G$17*(1+OTCapPct)*(Cap_Tech*$C102*(1-$I102)))),MAX(0,$L102-((BedsCurrent+BedsAdded)*ShiftHours*$F102/BedHr_N)),MAX(0,$L102*Acuity_N-(ImgBase+ImgExpOn*ImgExpAdd)),MAX(0,$L102-(LabBase+LabExpOn*LabExpAdd)))</f>
        <v>0</v>
      </c>
      <c r="P102" s="11">
        <f t="shared" ca="1" si="23"/>
        <v>36.237093264206479</v>
      </c>
      <c r="Q102" s="17">
        <f ca="1">((MIN(OTCapPct*Model!$G$24,MAX(0,(($J102*(1+0.5*Acuity_M))/(Cap_Doc*$C102*(1-$G102)))-Model!$G$24)))*OTCost_Doc)+((MIN(OTCapPct*Model!$G$6,MAX(0,(($J102)/(Cap_Nurse*$C102*(1-$H102)))-Model!$G$6)))*OTCost_Nurse)+((MIN(OTCapPct*Model!$G$15,MAX(0,(($J102)/(Cap_Tech*$C102*(1-$I102)))-Model!$G$15)))*OTCost_Tech)+((MIN(OTCapPct*Model!$G$25,MAX(0,(($K102*(1+0.5*Acuity_E))/(Cap_Doc*$C102*(1-$G102)))-Model!$G$25)))*OTCost_Doc)+((MIN(OTCapPct*Model!$G$7,MAX(0,(($K102)/(Cap_Nurse*$C102*(1-$H102)))-Model!$G$7)))*OTCost_Nurse)+((MIN(OTCapPct*Model!$G$16,MAX(0,(($K102)/(Cap_Tech*$C102*(1-$I102)))-Model!$G$16)))*OTCost_Tech)+((MIN(OTCapPct*Model!$G$26,MAX(0,(($L102*(1+0.5*Acuity_N))/(Cap_Doc*$C102*(1-$G102)))-Model!$G$26)))*OTCost_Doc)+((MIN(OTCapPct*Model!$G$8,MAX(0,(($L102)/(Cap_Nurse*$C102*(1-$H102)))-Model!$G$8)))*OTCost_Nurse)+((MIN(OTCapPct*Model!$G$17,MAX(0,(($L102)/(Cap_Tech*$C102*(1-$I102)))-Model!$G$17)))*OTCost_Tech)</f>
        <v>34319.671904362251</v>
      </c>
    </row>
    <row r="103" spans="1:17" x14ac:dyDescent="0.25">
      <c r="A103" s="11">
        <v>99</v>
      </c>
      <c r="B103" s="11" t="str">
        <f t="shared" ca="1" si="12"/>
        <v>Normal</v>
      </c>
      <c r="C103" s="11">
        <f t="shared" ca="1" si="13"/>
        <v>1</v>
      </c>
      <c r="D103" s="11">
        <f t="shared" ca="1" si="14"/>
        <v>0</v>
      </c>
      <c r="E103" s="11">
        <f t="shared" ca="1" si="15"/>
        <v>2</v>
      </c>
      <c r="F103" s="36">
        <f t="shared" ca="1" si="16"/>
        <v>1.1390466644887867</v>
      </c>
      <c r="G103" s="11">
        <f t="shared" ca="1" si="17"/>
        <v>0</v>
      </c>
      <c r="H103" s="11">
        <f t="shared" ca="1" si="18"/>
        <v>5.1012631419980164E-2</v>
      </c>
      <c r="I103" s="11">
        <f t="shared" ca="1" si="19"/>
        <v>0</v>
      </c>
      <c r="J103" s="11">
        <f t="shared" ca="1" si="20"/>
        <v>88</v>
      </c>
      <c r="K103" s="11">
        <f t="shared" ca="1" si="21"/>
        <v>127</v>
      </c>
      <c r="L103" s="11">
        <f t="shared" ca="1" si="22"/>
        <v>78</v>
      </c>
      <c r="M103" s="11">
        <f ca="1">MAX(MAX(0,($J103*(1+0.5*Acuity_M))-(Model!$G$24*(1+OTCapPct)*(Cap_Doc*$C103*(1-$G103)))),MAX(0,($J103)-(Model!$G$6*(1+OTCapPct)*(Cap_Nurse*$C103*(1-$H103)))),MAX(0,($J103)-(Model!$G$15*(1+OTCapPct)*(Cap_Tech*$C103*(1-$I103)))),MAX(0,$J103-((BedsCurrent+BedsAdded)*ShiftHours*$F103/BedHr_M)),MAX(0,$J103*Acuity_M-(ImgBase+ImgExpOn*ImgExpAdd)),MAX(0,$J103-(LabBase+LabExpOn*LabExpAdd)))</f>
        <v>0</v>
      </c>
      <c r="N103" s="11">
        <f ca="1">MAX(MAX(0,($K103*(1+0.5*Acuity_E))-(Model!$G$25*(1+OTCapPct)*(Cap_Doc*$C103*(1-$G103)))),MAX(0,($K103)-(Model!$G$7*(1+OTCapPct)*(Cap_Nurse*$C103*(1-$H103)))),MAX(0,($K103)-(Model!$G$16*(1+OTCapPct)*(Cap_Tech*$C103*(1-$I103)))),MAX(0,$K103-((BedsCurrent+BedsAdded)*ShiftHours*$F103/BedHr_E)),MAX(0,$K103*Acuity_E-(ImgBase+ImgExpOn*ImgExpAdd)),MAX(0,$K103-(LabBase+LabExpOn*LabExpAdd)))</f>
        <v>32</v>
      </c>
      <c r="O103" s="11">
        <f ca="1">MAX(MAX(0,($L103*(1+0.5*Acuity_N))-(Model!$G$26*(1+OTCapPct)*(Cap_Doc*$C103*(1-$G103)))),MAX(0,($L103)-(Model!$G$8*(1+OTCapPct)*(Cap_Nurse*$C103*(1-$H103)))),MAX(0,($L103)-(Model!$G$17*(1+OTCapPct)*(Cap_Tech*$C103*(1-$I103)))),MAX(0,$L103-((BedsCurrent+BedsAdded)*ShiftHours*$F103/BedHr_N)),MAX(0,$L103*Acuity_N-(ImgBase+ImgExpOn*ImgExpAdd)),MAX(0,$L103-(LabBase+LabExpOn*LabExpAdd)))</f>
        <v>0</v>
      </c>
      <c r="P103" s="11">
        <f t="shared" ca="1" si="23"/>
        <v>32</v>
      </c>
      <c r="Q103" s="17">
        <f ca="1">((MIN(OTCapPct*Model!$G$24,MAX(0,(($J103*(1+0.5*Acuity_M))/(Cap_Doc*$C103*(1-$G103)))-Model!$G$24)))*OTCost_Doc)+((MIN(OTCapPct*Model!$G$6,MAX(0,(($J103)/(Cap_Nurse*$C103*(1-$H103)))-Model!$G$6)))*OTCost_Nurse)+((MIN(OTCapPct*Model!$G$15,MAX(0,(($J103)/(Cap_Tech*$C103*(1-$I103)))-Model!$G$15)))*OTCost_Tech)+((MIN(OTCapPct*Model!$G$25,MAX(0,(($K103*(1+0.5*Acuity_E))/(Cap_Doc*$C103*(1-$G103)))-Model!$G$25)))*OTCost_Doc)+((MIN(OTCapPct*Model!$G$7,MAX(0,(($K103)/(Cap_Nurse*$C103*(1-$H103)))-Model!$G$7)))*OTCost_Nurse)+((MIN(OTCapPct*Model!$G$16,MAX(0,(($K103)/(Cap_Tech*$C103*(1-$I103)))-Model!$G$16)))*OTCost_Tech)+((MIN(OTCapPct*Model!$G$26,MAX(0,(($L103*(1+0.5*Acuity_N))/(Cap_Doc*$C103*(1-$G103)))-Model!$G$26)))*OTCost_Doc)+((MIN(OTCapPct*Model!$G$8,MAX(0,(($L103)/(Cap_Nurse*$C103*(1-$H103)))-Model!$G$8)))*OTCost_Nurse)+((MIN(OTCapPct*Model!$G$17,MAX(0,(($L103)/(Cap_Tech*$C103*(1-$I103)))-Model!$G$17)))*OTCost_Tech)</f>
        <v>52026.335589563219</v>
      </c>
    </row>
    <row r="104" spans="1:17" x14ac:dyDescent="0.25">
      <c r="A104" s="11">
        <v>100</v>
      </c>
      <c r="B104" s="11" t="str">
        <f t="shared" ca="1" si="12"/>
        <v>Complex</v>
      </c>
      <c r="C104" s="11">
        <f t="shared" ca="1" si="13"/>
        <v>0.9</v>
      </c>
      <c r="D104" s="11">
        <f t="shared" ca="1" si="14"/>
        <v>0</v>
      </c>
      <c r="E104" s="11">
        <f t="shared" ca="1" si="15"/>
        <v>3</v>
      </c>
      <c r="F104" s="36">
        <f t="shared" ca="1" si="16"/>
        <v>1.1207441340602955</v>
      </c>
      <c r="G104" s="11">
        <f t="shared" ca="1" si="17"/>
        <v>3.5195867109592688E-2</v>
      </c>
      <c r="H104" s="11">
        <f t="shared" ca="1" si="18"/>
        <v>1.30555815202106E-2</v>
      </c>
      <c r="I104" s="11">
        <f t="shared" ca="1" si="19"/>
        <v>1.0022439937019303E-2</v>
      </c>
      <c r="J104" s="11">
        <f t="shared" ca="1" si="20"/>
        <v>103</v>
      </c>
      <c r="K104" s="11">
        <f t="shared" ca="1" si="21"/>
        <v>148</v>
      </c>
      <c r="L104" s="11">
        <f t="shared" ca="1" si="22"/>
        <v>67</v>
      </c>
      <c r="M104" s="11">
        <f ca="1">MAX(MAX(0,($J104*(1+0.5*Acuity_M))-(Model!$G$24*(1+OTCapPct)*(Cap_Doc*$C104*(1-$G104)))),MAX(0,($J104)-(Model!$G$6*(1+OTCapPct)*(Cap_Nurse*$C104*(1-$H104)))),MAX(0,($J104)-(Model!$G$15*(1+OTCapPct)*(Cap_Tech*$C104*(1-$I104)))),MAX(0,$J104-((BedsCurrent+BedsAdded)*ShiftHours*$F104/BedHr_M)),MAX(0,$J104*Acuity_M-(ImgBase+ImgExpOn*ImgExpAdd)),MAX(0,$J104-(LabBase+LabExpOn*LabExpAdd)))</f>
        <v>16.643581544846285</v>
      </c>
      <c r="N104" s="11">
        <f ca="1">MAX(MAX(0,($K104*(1+0.5*Acuity_E))-(Model!$G$25*(1+OTCapPct)*(Cap_Doc*$C104*(1-$G104)))),MAX(0,($K104)-(Model!$G$7*(1+OTCapPct)*(Cap_Nurse*$C104*(1-$H104)))),MAX(0,($K104)-(Model!$G$16*(1+OTCapPct)*(Cap_Tech*$C104*(1-$I104)))),MAX(0,$K104-((BedsCurrent+BedsAdded)*ShiftHours*$F104/BedHr_E)),MAX(0,$K104*Acuity_E-(ImgBase+ImgExpOn*ImgExpAdd)),MAX(0,$K104-(LabBase+LabExpOn*LabExpAdd)))</f>
        <v>53</v>
      </c>
      <c r="O104" s="11">
        <f ca="1">MAX(MAX(0,($L104*(1+0.5*Acuity_N))-(Model!$G$26*(1+OTCapPct)*(Cap_Doc*$C104*(1-$G104)))),MAX(0,($L104)-(Model!$G$8*(1+OTCapPct)*(Cap_Nurse*$C104*(1-$H104)))),MAX(0,($L104)-(Model!$G$17*(1+OTCapPct)*(Cap_Tech*$C104*(1-$I104)))),MAX(0,$L104-((BedsCurrent+BedsAdded)*ShiftHours*$F104/BedHr_N)),MAX(0,$L104*Acuity_N-(ImgBase+ImgExpOn*ImgExpAdd)),MAX(0,$L104-(LabBase+LabExpOn*LabExpAdd)))</f>
        <v>0</v>
      </c>
      <c r="P104" s="11">
        <f t="shared" ca="1" si="23"/>
        <v>69.643581544846285</v>
      </c>
      <c r="Q104" s="17">
        <f ca="1">((MIN(OTCapPct*Model!$G$24,MAX(0,(($J104*(1+0.5*Acuity_M))/(Cap_Doc*$C104*(1-$G104)))-Model!$G$24)))*OTCost_Doc)+((MIN(OTCapPct*Model!$G$6,MAX(0,(($J104)/(Cap_Nurse*$C104*(1-$H104)))-Model!$G$6)))*OTCost_Nurse)+((MIN(OTCapPct*Model!$G$15,MAX(0,(($J104)/(Cap_Tech*$C104*(1-$I104)))-Model!$G$15)))*OTCost_Tech)+((MIN(OTCapPct*Model!$G$25,MAX(0,(($K104*(1+0.5*Acuity_E))/(Cap_Doc*$C104*(1-$G104)))-Model!$G$25)))*OTCost_Doc)+((MIN(OTCapPct*Model!$G$7,MAX(0,(($K104)/(Cap_Nurse*$C104*(1-$H104)))-Model!$G$7)))*OTCost_Nurse)+((MIN(OTCapPct*Model!$G$16,MAX(0,(($K104)/(Cap_Tech*$C104*(1-$I104)))-Model!$G$16)))*OTCost_Tech)+((MIN(OTCapPct*Model!$G$26,MAX(0,(($L104*(1+0.5*Acuity_N))/(Cap_Doc*$C104*(1-$G104)))-Model!$G$26)))*OTCost_Doc)+((MIN(OTCapPct*Model!$G$8,MAX(0,(($L104)/(Cap_Nurse*$C104*(1-$H104)))-Model!$G$8)))*OTCost_Nurse)+((MIN(OTCapPct*Model!$G$17,MAX(0,(($L104)/(Cap_Tech*$C104*(1-$I104)))-Model!$G$17)))*OTCost_Tech)</f>
        <v>91283.133241328091</v>
      </c>
    </row>
    <row r="105" spans="1:17" x14ac:dyDescent="0.25">
      <c r="A105" s="11">
        <v>101</v>
      </c>
      <c r="B105" s="11" t="str">
        <f t="shared" ca="1" si="12"/>
        <v>Normal</v>
      </c>
      <c r="C105" s="11">
        <f t="shared" ca="1" si="13"/>
        <v>1</v>
      </c>
      <c r="D105" s="11">
        <f t="shared" ca="1" si="14"/>
        <v>1</v>
      </c>
      <c r="E105" s="11">
        <f t="shared" ca="1" si="15"/>
        <v>3</v>
      </c>
      <c r="F105" s="36">
        <f t="shared" ca="1" si="16"/>
        <v>1.0014880175263128</v>
      </c>
      <c r="G105" s="11">
        <f t="shared" ca="1" si="17"/>
        <v>0</v>
      </c>
      <c r="H105" s="11">
        <f t="shared" ca="1" si="18"/>
        <v>1.4002092325589841E-2</v>
      </c>
      <c r="I105" s="11">
        <f t="shared" ca="1" si="19"/>
        <v>0.14324774357585299</v>
      </c>
      <c r="J105" s="11">
        <f t="shared" ca="1" si="20"/>
        <v>92</v>
      </c>
      <c r="K105" s="11">
        <f t="shared" ca="1" si="21"/>
        <v>120</v>
      </c>
      <c r="L105" s="11">
        <f t="shared" ca="1" si="22"/>
        <v>79</v>
      </c>
      <c r="M105" s="11">
        <f ca="1">MAX(MAX(0,($J105*(1+0.5*Acuity_M))-(Model!$G$24*(1+OTCapPct)*(Cap_Doc*$C105*(1-$G105)))),MAX(0,($J105)-(Model!$G$6*(1+OTCapPct)*(Cap_Nurse*$C105*(1-$H105)))),MAX(0,($J105)-(Model!$G$15*(1+OTCapPct)*(Cap_Tech*$C105*(1-$I105)))),MAX(0,$J105-((BedsCurrent+BedsAdded)*ShiftHours*$F105/BedHr_M)),MAX(0,$J105*Acuity_M-(ImgBase+ImgExpOn*ImgExpAdd)),MAX(0,$J105-(LabBase+LabExpOn*LabExpAdd)))</f>
        <v>0</v>
      </c>
      <c r="N105" s="11">
        <f ca="1">MAX(MAX(0,($K105*(1+0.5*Acuity_E))-(Model!$G$25*(1+OTCapPct)*(Cap_Doc*$C105*(1-$G105)))),MAX(0,($K105)-(Model!$G$7*(1+OTCapPct)*(Cap_Nurse*$C105*(1-$H105)))),MAX(0,($K105)-(Model!$G$16*(1+OTCapPct)*(Cap_Tech*$C105*(1-$I105)))),MAX(0,$K105-((BedsCurrent+BedsAdded)*ShiftHours*$F105/BedHr_E)),MAX(0,$K105*Acuity_E-(ImgBase+ImgExpOn*ImgExpAdd)),MAX(0,$K105-(LabBase+LabExpOn*LabExpAdd)))</f>
        <v>25</v>
      </c>
      <c r="O105" s="11">
        <f ca="1">MAX(MAX(0,($L105*(1+0.5*Acuity_N))-(Model!$G$26*(1+OTCapPct)*(Cap_Doc*$C105*(1-$G105)))),MAX(0,($L105)-(Model!$G$8*(1+OTCapPct)*(Cap_Nurse*$C105*(1-$H105)))),MAX(0,($L105)-(Model!$G$17*(1+OTCapPct)*(Cap_Tech*$C105*(1-$I105)))),MAX(0,$L105-((BedsCurrent+BedsAdded)*ShiftHours*$F105/BedHr_N)),MAX(0,$L105*Acuity_N-(ImgBase+ImgExpOn*ImgExpAdd)),MAX(0,$L105-(LabBase+LabExpOn*LabExpAdd)))</f>
        <v>0.84999999999999432</v>
      </c>
      <c r="P105" s="11">
        <f t="shared" ca="1" si="23"/>
        <v>25.849999999999994</v>
      </c>
      <c r="Q105" s="17">
        <f ca="1">((MIN(OTCapPct*Model!$G$24,MAX(0,(($J105*(1+0.5*Acuity_M))/(Cap_Doc*$C105*(1-$G105)))-Model!$G$24)))*OTCost_Doc)+((MIN(OTCapPct*Model!$G$6,MAX(0,(($J105)/(Cap_Nurse*$C105*(1-$H105)))-Model!$G$6)))*OTCost_Nurse)+((MIN(OTCapPct*Model!$G$15,MAX(0,(($J105)/(Cap_Tech*$C105*(1-$I105)))-Model!$G$15)))*OTCost_Tech)+((MIN(OTCapPct*Model!$G$25,MAX(0,(($K105*(1+0.5*Acuity_E))/(Cap_Doc*$C105*(1-$G105)))-Model!$G$25)))*OTCost_Doc)+((MIN(OTCapPct*Model!$G$7,MAX(0,(($K105)/(Cap_Nurse*$C105*(1-$H105)))-Model!$G$7)))*OTCost_Nurse)+((MIN(OTCapPct*Model!$G$16,MAX(0,(($K105)/(Cap_Tech*$C105*(1-$I105)))-Model!$G$16)))*OTCost_Tech)+((MIN(OTCapPct*Model!$G$26,MAX(0,(($L105*(1+0.5*Acuity_N))/(Cap_Doc*$C105*(1-$G105)))-Model!$G$26)))*OTCost_Doc)+((MIN(OTCapPct*Model!$G$8,MAX(0,(($L105)/(Cap_Nurse*$C105*(1-$H105)))-Model!$G$8)))*OTCost_Nurse)+((MIN(OTCapPct*Model!$G$17,MAX(0,(($L105)/(Cap_Tech*$C105*(1-$I105)))-Model!$G$17)))*OTCost_Tech)</f>
        <v>47662.552561342942</v>
      </c>
    </row>
    <row r="106" spans="1:17" x14ac:dyDescent="0.25">
      <c r="A106" s="11">
        <v>102</v>
      </c>
      <c r="B106" s="11" t="str">
        <f t="shared" ca="1" si="12"/>
        <v>Normal</v>
      </c>
      <c r="C106" s="11">
        <f t="shared" ca="1" si="13"/>
        <v>1</v>
      </c>
      <c r="D106" s="11">
        <f t="shared" ca="1" si="14"/>
        <v>0</v>
      </c>
      <c r="E106" s="11">
        <f t="shared" ca="1" si="15"/>
        <v>2</v>
      </c>
      <c r="F106" s="36">
        <f t="shared" ca="1" si="16"/>
        <v>0.99451236549938948</v>
      </c>
      <c r="G106" s="11">
        <f t="shared" ca="1" si="17"/>
        <v>4.3268385640930461E-2</v>
      </c>
      <c r="H106" s="11">
        <f t="shared" ca="1" si="18"/>
        <v>8.3750279743518979E-2</v>
      </c>
      <c r="I106" s="11">
        <f t="shared" ca="1" si="19"/>
        <v>0</v>
      </c>
      <c r="J106" s="11">
        <f t="shared" ca="1" si="20"/>
        <v>72</v>
      </c>
      <c r="K106" s="11">
        <f t="shared" ca="1" si="21"/>
        <v>138</v>
      </c>
      <c r="L106" s="11">
        <f t="shared" ca="1" si="22"/>
        <v>80</v>
      </c>
      <c r="M106" s="11">
        <f ca="1">MAX(MAX(0,($J106*(1+0.5*Acuity_M))-(Model!$G$24*(1+OTCapPct)*(Cap_Doc*$C106*(1-$G106)))),MAX(0,($J106)-(Model!$G$6*(1+OTCapPct)*(Cap_Nurse*$C106*(1-$H106)))),MAX(0,($J106)-(Model!$G$15*(1+OTCapPct)*(Cap_Tech*$C106*(1-$I106)))),MAX(0,$J106-((BedsCurrent+BedsAdded)*ShiftHours*$F106/BedHr_M)),MAX(0,$J106*Acuity_M-(ImgBase+ImgExpOn*ImgExpAdd)),MAX(0,$J106-(LabBase+LabExpOn*LabExpAdd)))</f>
        <v>0</v>
      </c>
      <c r="N106" s="11">
        <f ca="1">MAX(MAX(0,($K106*(1+0.5*Acuity_E))-(Model!$G$25*(1+OTCapPct)*(Cap_Doc*$C106*(1-$G106)))),MAX(0,($K106)-(Model!$G$7*(1+OTCapPct)*(Cap_Nurse*$C106*(1-$H106)))),MAX(0,($K106)-(Model!$G$16*(1+OTCapPct)*(Cap_Tech*$C106*(1-$I106)))),MAX(0,$K106-((BedsCurrent+BedsAdded)*ShiftHours*$F106/BedHr_E)),MAX(0,$K106*Acuity_E-(ImgBase+ImgExpOn*ImgExpAdd)),MAX(0,$K106-(LabBase+LabExpOn*LabExpAdd)))</f>
        <v>43</v>
      </c>
      <c r="O106" s="11">
        <f ca="1">MAX(MAX(0,($L106*(1+0.5*Acuity_N))-(Model!$G$26*(1+OTCapPct)*(Cap_Doc*$C106*(1-$G106)))),MAX(0,($L106)-(Model!$G$8*(1+OTCapPct)*(Cap_Nurse*$C106*(1-$H106)))),MAX(0,($L106)-(Model!$G$17*(1+OTCapPct)*(Cap_Tech*$C106*(1-$I106)))),MAX(0,$L106-((BedsCurrent+BedsAdded)*ShiftHours*$F106/BedHr_N)),MAX(0,$L106*Acuity_N-(ImgBase+ImgExpOn*ImgExpAdd)),MAX(0,$L106-(LabBase+LabExpOn*LabExpAdd)))</f>
        <v>5.8941547076837537</v>
      </c>
      <c r="P106" s="11">
        <f t="shared" ca="1" si="23"/>
        <v>48.894154707683754</v>
      </c>
      <c r="Q106" s="17">
        <f ca="1">((MIN(OTCapPct*Model!$G$24,MAX(0,(($J106*(1+0.5*Acuity_M))/(Cap_Doc*$C106*(1-$G106)))-Model!$G$24)))*OTCost_Doc)+((MIN(OTCapPct*Model!$G$6,MAX(0,(($J106)/(Cap_Nurse*$C106*(1-$H106)))-Model!$G$6)))*OTCost_Nurse)+((MIN(OTCapPct*Model!$G$15,MAX(0,(($J106)/(Cap_Tech*$C106*(1-$I106)))-Model!$G$15)))*OTCost_Tech)+((MIN(OTCapPct*Model!$G$25,MAX(0,(($K106*(1+0.5*Acuity_E))/(Cap_Doc*$C106*(1-$G106)))-Model!$G$25)))*OTCost_Doc)+((MIN(OTCapPct*Model!$G$7,MAX(0,(($K106)/(Cap_Nurse*$C106*(1-$H106)))-Model!$G$7)))*OTCost_Nurse)+((MIN(OTCapPct*Model!$G$16,MAX(0,(($K106)/(Cap_Tech*$C106*(1-$I106)))-Model!$G$16)))*OTCost_Tech)+((MIN(OTCapPct*Model!$G$26,MAX(0,(($L106*(1+0.5*Acuity_N))/(Cap_Doc*$C106*(1-$G106)))-Model!$G$26)))*OTCost_Doc)+((MIN(OTCapPct*Model!$G$8,MAX(0,(($L106)/(Cap_Nurse*$C106*(1-$H106)))-Model!$G$8)))*OTCost_Nurse)+((MIN(OTCapPct*Model!$G$17,MAX(0,(($L106)/(Cap_Tech*$C106*(1-$I106)))-Model!$G$17)))*OTCost_Tech)</f>
        <v>64669.239087138005</v>
      </c>
    </row>
    <row r="107" spans="1:17" x14ac:dyDescent="0.25">
      <c r="A107" s="11">
        <v>103</v>
      </c>
      <c r="B107" s="11" t="str">
        <f t="shared" ca="1" si="12"/>
        <v>Normal</v>
      </c>
      <c r="C107" s="11">
        <f t="shared" ca="1" si="13"/>
        <v>1</v>
      </c>
      <c r="D107" s="11">
        <f t="shared" ca="1" si="14"/>
        <v>0</v>
      </c>
      <c r="E107" s="11">
        <f t="shared" ca="1" si="15"/>
        <v>3</v>
      </c>
      <c r="F107" s="36">
        <f t="shared" ca="1" si="16"/>
        <v>1.067096218366492</v>
      </c>
      <c r="G107" s="11">
        <f t="shared" ca="1" si="17"/>
        <v>6.8808748535513553E-2</v>
      </c>
      <c r="H107" s="11">
        <f t="shared" ca="1" si="18"/>
        <v>6.7958422025440016E-2</v>
      </c>
      <c r="I107" s="11">
        <f t="shared" ca="1" si="19"/>
        <v>3.7851899266565944E-2</v>
      </c>
      <c r="J107" s="11">
        <f t="shared" ca="1" si="20"/>
        <v>75</v>
      </c>
      <c r="K107" s="11">
        <f t="shared" ca="1" si="21"/>
        <v>126</v>
      </c>
      <c r="L107" s="11">
        <f t="shared" ca="1" si="22"/>
        <v>48</v>
      </c>
      <c r="M107" s="11">
        <f ca="1">MAX(MAX(0,($J107*(1+0.5*Acuity_M))-(Model!$G$24*(1+OTCapPct)*(Cap_Doc*$C107*(1-$G107)))),MAX(0,($J107)-(Model!$G$6*(1+OTCapPct)*(Cap_Nurse*$C107*(1-$H107)))),MAX(0,($J107)-(Model!$G$15*(1+OTCapPct)*(Cap_Tech*$C107*(1-$I107)))),MAX(0,$J107-((BedsCurrent+BedsAdded)*ShiftHours*$F107/BedHr_M)),MAX(0,$J107*Acuity_M-(ImgBase+ImgExpOn*ImgExpAdd)),MAX(0,$J107-(LabBase+LabExpOn*LabExpAdd)))</f>
        <v>0</v>
      </c>
      <c r="N107" s="11">
        <f ca="1">MAX(MAX(0,($K107*(1+0.5*Acuity_E))-(Model!$G$25*(1+OTCapPct)*(Cap_Doc*$C107*(1-$G107)))),MAX(0,($K107)-(Model!$G$7*(1+OTCapPct)*(Cap_Nurse*$C107*(1-$H107)))),MAX(0,($K107)-(Model!$G$16*(1+OTCapPct)*(Cap_Tech*$C107*(1-$I107)))),MAX(0,$K107-((BedsCurrent+BedsAdded)*ShiftHours*$F107/BedHr_E)),MAX(0,$K107*Acuity_E-(ImgBase+ImgExpOn*ImgExpAdd)),MAX(0,$K107-(LabBase+LabExpOn*LabExpAdd)))</f>
        <v>31</v>
      </c>
      <c r="O107" s="11">
        <f ca="1">MAX(MAX(0,($L107*(1+0.5*Acuity_N))-(Model!$G$26*(1+OTCapPct)*(Cap_Doc*$C107*(1-$G107)))),MAX(0,($L107)-(Model!$G$8*(1+OTCapPct)*(Cap_Nurse*$C107*(1-$H107)))),MAX(0,($L107)-(Model!$G$17*(1+OTCapPct)*(Cap_Tech*$C107*(1-$I107)))),MAX(0,$L107-((BedsCurrent+BedsAdded)*ShiftHours*$F107/BedHr_N)),MAX(0,$L107*Acuity_N-(ImgBase+ImgExpOn*ImgExpAdd)),MAX(0,$L107-(LabBase+LabExpOn*LabExpAdd)))</f>
        <v>0</v>
      </c>
      <c r="P107" s="11">
        <f t="shared" ca="1" si="23"/>
        <v>31</v>
      </c>
      <c r="Q107" s="17">
        <f ca="1">((MIN(OTCapPct*Model!$G$24,MAX(0,(($J107*(1+0.5*Acuity_M))/(Cap_Doc*$C107*(1-$G107)))-Model!$G$24)))*OTCost_Doc)+((MIN(OTCapPct*Model!$G$6,MAX(0,(($J107)/(Cap_Nurse*$C107*(1-$H107)))-Model!$G$6)))*OTCost_Nurse)+((MIN(OTCapPct*Model!$G$15,MAX(0,(($J107)/(Cap_Tech*$C107*(1-$I107)))-Model!$G$15)))*OTCost_Tech)+((MIN(OTCapPct*Model!$G$25,MAX(0,(($K107*(1+0.5*Acuity_E))/(Cap_Doc*$C107*(1-$G107)))-Model!$G$25)))*OTCost_Doc)+((MIN(OTCapPct*Model!$G$7,MAX(0,(($K107)/(Cap_Nurse*$C107*(1-$H107)))-Model!$G$7)))*OTCost_Nurse)+((MIN(OTCapPct*Model!$G$16,MAX(0,(($K107)/(Cap_Tech*$C107*(1-$I107)))-Model!$G$16)))*OTCost_Tech)+((MIN(OTCapPct*Model!$G$26,MAX(0,(($L107*(1+0.5*Acuity_N))/(Cap_Doc*$C107*(1-$G107)))-Model!$G$26)))*OTCost_Doc)+((MIN(OTCapPct*Model!$G$8,MAX(0,(($L107)/(Cap_Nurse*$C107*(1-$H107)))-Model!$G$8)))*OTCost_Nurse)+((MIN(OTCapPct*Model!$G$17,MAX(0,(($L107)/(Cap_Tech*$C107*(1-$I107)))-Model!$G$17)))*OTCost_Tech)</f>
        <v>31243.028556437635</v>
      </c>
    </row>
    <row r="108" spans="1:17" x14ac:dyDescent="0.25">
      <c r="A108" s="11">
        <v>104</v>
      </c>
      <c r="B108" s="11" t="str">
        <f t="shared" ca="1" si="12"/>
        <v>Complex</v>
      </c>
      <c r="C108" s="11">
        <f t="shared" ca="1" si="13"/>
        <v>0.9</v>
      </c>
      <c r="D108" s="11">
        <f t="shared" ca="1" si="14"/>
        <v>0</v>
      </c>
      <c r="E108" s="11">
        <f t="shared" ca="1" si="15"/>
        <v>3</v>
      </c>
      <c r="F108" s="36">
        <f t="shared" ca="1" si="16"/>
        <v>1.0527340467055559</v>
      </c>
      <c r="G108" s="11">
        <f t="shared" ca="1" si="17"/>
        <v>1.4983350835941905E-2</v>
      </c>
      <c r="H108" s="11">
        <f t="shared" ca="1" si="18"/>
        <v>3.5804651721842259E-2</v>
      </c>
      <c r="I108" s="11">
        <f t="shared" ca="1" si="19"/>
        <v>1.5743412300613206E-2</v>
      </c>
      <c r="J108" s="11">
        <f t="shared" ca="1" si="20"/>
        <v>84</v>
      </c>
      <c r="K108" s="11">
        <f t="shared" ca="1" si="21"/>
        <v>132</v>
      </c>
      <c r="L108" s="11">
        <f t="shared" ca="1" si="22"/>
        <v>56</v>
      </c>
      <c r="M108" s="11">
        <f ca="1">MAX(MAX(0,($J108*(1+0.5*Acuity_M))-(Model!$G$24*(1+OTCapPct)*(Cap_Doc*$C108*(1-$G108)))),MAX(0,($J108)-(Model!$G$6*(1+OTCapPct)*(Cap_Nurse*$C108*(1-$H108)))),MAX(0,($J108)-(Model!$G$15*(1+OTCapPct)*(Cap_Tech*$C108*(1-$I108)))),MAX(0,$J108-((BedsCurrent+BedsAdded)*ShiftHours*$F108/BedHr_M)),MAX(0,$J108*Acuity_M-(ImgBase+ImgExpOn*ImgExpAdd)),MAX(0,$J108-(LabBase+LabExpOn*LabExpAdd)))</f>
        <v>0</v>
      </c>
      <c r="N108" s="11">
        <f ca="1">MAX(MAX(0,($K108*(1+0.5*Acuity_E))-(Model!$G$25*(1+OTCapPct)*(Cap_Doc*$C108*(1-$G108)))),MAX(0,($K108)-(Model!$G$7*(1+OTCapPct)*(Cap_Nurse*$C108*(1-$H108)))),MAX(0,($K108)-(Model!$G$16*(1+OTCapPct)*(Cap_Tech*$C108*(1-$I108)))),MAX(0,$K108-((BedsCurrent+BedsAdded)*ShiftHours*$F108/BedHr_E)),MAX(0,$K108*Acuity_E-(ImgBase+ImgExpOn*ImgExpAdd)),MAX(0,$K108-(LabBase+LabExpOn*LabExpAdd)))</f>
        <v>37</v>
      </c>
      <c r="O108" s="11">
        <f ca="1">MAX(MAX(0,($L108*(1+0.5*Acuity_N))-(Model!$G$26*(1+OTCapPct)*(Cap_Doc*$C108*(1-$G108)))),MAX(0,($L108)-(Model!$G$8*(1+OTCapPct)*(Cap_Nurse*$C108*(1-$H108)))),MAX(0,($L108)-(Model!$G$17*(1+OTCapPct)*(Cap_Tech*$C108*(1-$I108)))),MAX(0,$L108-((BedsCurrent+BedsAdded)*ShiftHours*$F108/BedHr_N)),MAX(0,$L108*Acuity_N-(ImgBase+ImgExpOn*ImgExpAdd)),MAX(0,$L108-(LabBase+LabExpOn*LabExpAdd)))</f>
        <v>0</v>
      </c>
      <c r="P108" s="11">
        <f t="shared" ca="1" si="23"/>
        <v>37</v>
      </c>
      <c r="Q108" s="17">
        <f ca="1">((MIN(OTCapPct*Model!$G$24,MAX(0,(($J108*(1+0.5*Acuity_M))/(Cap_Doc*$C108*(1-$G108)))-Model!$G$24)))*OTCost_Doc)+((MIN(OTCapPct*Model!$G$6,MAX(0,(($J108)/(Cap_Nurse*$C108*(1-$H108)))-Model!$G$6)))*OTCost_Nurse)+((MIN(OTCapPct*Model!$G$15,MAX(0,(($J108)/(Cap_Tech*$C108*(1-$I108)))-Model!$G$15)))*OTCost_Tech)+((MIN(OTCapPct*Model!$G$25,MAX(0,(($K108*(1+0.5*Acuity_E))/(Cap_Doc*$C108*(1-$G108)))-Model!$G$25)))*OTCost_Doc)+((MIN(OTCapPct*Model!$G$7,MAX(0,(($K108)/(Cap_Nurse*$C108*(1-$H108)))-Model!$G$7)))*OTCost_Nurse)+((MIN(OTCapPct*Model!$G$16,MAX(0,(($K108)/(Cap_Tech*$C108*(1-$I108)))-Model!$G$16)))*OTCost_Tech)+((MIN(OTCapPct*Model!$G$26,MAX(0,(($L108*(1+0.5*Acuity_N))/(Cap_Doc*$C108*(1-$G108)))-Model!$G$26)))*OTCost_Doc)+((MIN(OTCapPct*Model!$G$8,MAX(0,(($L108)/(Cap_Nurse*$C108*(1-$H108)))-Model!$G$8)))*OTCost_Nurse)+((MIN(OTCapPct*Model!$G$17,MAX(0,(($L108)/(Cap_Tech*$C108*(1-$I108)))-Model!$G$17)))*OTCost_Tech)</f>
        <v>64312.626504007792</v>
      </c>
    </row>
    <row r="109" spans="1:17" x14ac:dyDescent="0.25">
      <c r="A109" s="11">
        <v>105</v>
      </c>
      <c r="B109" s="11" t="str">
        <f t="shared" ca="1" si="12"/>
        <v>Normal</v>
      </c>
      <c r="C109" s="11">
        <f t="shared" ca="1" si="13"/>
        <v>1</v>
      </c>
      <c r="D109" s="11">
        <f t="shared" ca="1" si="14"/>
        <v>0</v>
      </c>
      <c r="E109" s="11">
        <f t="shared" ca="1" si="15"/>
        <v>3</v>
      </c>
      <c r="F109" s="36">
        <f t="shared" ca="1" si="16"/>
        <v>1.0133672602119856</v>
      </c>
      <c r="G109" s="11">
        <f t="shared" ca="1" si="17"/>
        <v>0</v>
      </c>
      <c r="H109" s="11">
        <f t="shared" ca="1" si="18"/>
        <v>8.1532349232834422E-2</v>
      </c>
      <c r="I109" s="11">
        <f t="shared" ca="1" si="19"/>
        <v>0.1173234989914225</v>
      </c>
      <c r="J109" s="11">
        <f t="shared" ca="1" si="20"/>
        <v>91</v>
      </c>
      <c r="K109" s="11">
        <f t="shared" ca="1" si="21"/>
        <v>132</v>
      </c>
      <c r="L109" s="11">
        <f t="shared" ca="1" si="22"/>
        <v>77</v>
      </c>
      <c r="M109" s="11">
        <f ca="1">MAX(MAX(0,($J109*(1+0.5*Acuity_M))-(Model!$G$24*(1+OTCapPct)*(Cap_Doc*$C109*(1-$G109)))),MAX(0,($J109)-(Model!$G$6*(1+OTCapPct)*(Cap_Nurse*$C109*(1-$H109)))),MAX(0,($J109)-(Model!$G$15*(1+OTCapPct)*(Cap_Tech*$C109*(1-$I109)))),MAX(0,$J109-((BedsCurrent+BedsAdded)*ShiftHours*$F109/BedHr_M)),MAX(0,$J109*Acuity_M-(ImgBase+ImgExpOn*ImgExpAdd)),MAX(0,$J109-(LabBase+LabExpOn*LabExpAdd)))</f>
        <v>0</v>
      </c>
      <c r="N109" s="11">
        <f ca="1">MAX(MAX(0,($K109*(1+0.5*Acuity_E))-(Model!$G$25*(1+OTCapPct)*(Cap_Doc*$C109*(1-$G109)))),MAX(0,($K109)-(Model!$G$7*(1+OTCapPct)*(Cap_Nurse*$C109*(1-$H109)))),MAX(0,($K109)-(Model!$G$16*(1+OTCapPct)*(Cap_Tech*$C109*(1-$I109)))),MAX(0,$K109-((BedsCurrent+BedsAdded)*ShiftHours*$F109/BedHr_E)),MAX(0,$K109*Acuity_E-(ImgBase+ImgExpOn*ImgExpAdd)),MAX(0,$K109-(LabBase+LabExpOn*LabExpAdd)))</f>
        <v>37</v>
      </c>
      <c r="O109" s="11">
        <f ca="1">MAX(MAX(0,($L109*(1+0.5*Acuity_N))-(Model!$G$26*(1+OTCapPct)*(Cap_Doc*$C109*(1-$G109)))),MAX(0,($L109)-(Model!$G$8*(1+OTCapPct)*(Cap_Nurse*$C109*(1-$H109)))),MAX(0,($L109)-(Model!$G$17*(1+OTCapPct)*(Cap_Tech*$C109*(1-$I109)))),MAX(0,$L109-((BedsCurrent+BedsAdded)*ShiftHours*$F109/BedHr_N)),MAX(0,$L109*Acuity_N-(ImgBase+ImgExpOn*ImgExpAdd)),MAX(0,$L109-(LabBase+LabExpOn*LabExpAdd)))</f>
        <v>0</v>
      </c>
      <c r="P109" s="11">
        <f t="shared" ca="1" si="23"/>
        <v>37</v>
      </c>
      <c r="Q109" s="17">
        <f ca="1">((MIN(OTCapPct*Model!$G$24,MAX(0,(($J109*(1+0.5*Acuity_M))/(Cap_Doc*$C109*(1-$G109)))-Model!$G$24)))*OTCost_Doc)+((MIN(OTCapPct*Model!$G$6,MAX(0,(($J109)/(Cap_Nurse*$C109*(1-$H109)))-Model!$G$6)))*OTCost_Nurse)+((MIN(OTCapPct*Model!$G$15,MAX(0,(($J109)/(Cap_Tech*$C109*(1-$I109)))-Model!$G$15)))*OTCost_Tech)+((MIN(OTCapPct*Model!$G$25,MAX(0,(($K109*(1+0.5*Acuity_E))/(Cap_Doc*$C109*(1-$G109)))-Model!$G$25)))*OTCost_Doc)+((MIN(OTCapPct*Model!$G$7,MAX(0,(($K109)/(Cap_Nurse*$C109*(1-$H109)))-Model!$G$7)))*OTCost_Nurse)+((MIN(OTCapPct*Model!$G$16,MAX(0,(($K109)/(Cap_Tech*$C109*(1-$I109)))-Model!$G$16)))*OTCost_Tech)+((MIN(OTCapPct*Model!$G$26,MAX(0,(($L109*(1+0.5*Acuity_N))/(Cap_Doc*$C109*(1-$G109)))-Model!$G$26)))*OTCost_Doc)+((MIN(OTCapPct*Model!$G$8,MAX(0,(($L109)/(Cap_Nurse*$C109*(1-$H109)))-Model!$G$8)))*OTCost_Nurse)+((MIN(OTCapPct*Model!$G$17,MAX(0,(($L109)/(Cap_Tech*$C109*(1-$I109)))-Model!$G$17)))*OTCost_Tech)</f>
        <v>73561.902348818607</v>
      </c>
    </row>
    <row r="110" spans="1:17" x14ac:dyDescent="0.25">
      <c r="A110" s="11">
        <v>106</v>
      </c>
      <c r="B110" s="11" t="str">
        <f t="shared" ca="1" si="12"/>
        <v>Normal</v>
      </c>
      <c r="C110" s="11">
        <f t="shared" ca="1" si="13"/>
        <v>1</v>
      </c>
      <c r="D110" s="11">
        <f t="shared" ca="1" si="14"/>
        <v>0</v>
      </c>
      <c r="E110" s="11">
        <f t="shared" ca="1" si="15"/>
        <v>2</v>
      </c>
      <c r="F110" s="36">
        <f t="shared" ca="1" si="16"/>
        <v>0.82820921274231551</v>
      </c>
      <c r="G110" s="11">
        <f t="shared" ca="1" si="17"/>
        <v>5.2788171042981627E-2</v>
      </c>
      <c r="H110" s="11">
        <f t="shared" ca="1" si="18"/>
        <v>2.8883276103107262E-2</v>
      </c>
      <c r="I110" s="11">
        <f t="shared" ca="1" si="19"/>
        <v>8.851438689589633E-2</v>
      </c>
      <c r="J110" s="11">
        <f t="shared" ca="1" si="20"/>
        <v>83</v>
      </c>
      <c r="K110" s="11">
        <f t="shared" ca="1" si="21"/>
        <v>160</v>
      </c>
      <c r="L110" s="11">
        <f t="shared" ca="1" si="22"/>
        <v>50</v>
      </c>
      <c r="M110" s="11">
        <f ca="1">MAX(MAX(0,($J110*(1+0.5*Acuity_M))-(Model!$G$24*(1+OTCapPct)*(Cap_Doc*$C110*(1-$G110)))),MAX(0,($J110)-(Model!$G$6*(1+OTCapPct)*(Cap_Nurse*$C110*(1-$H110)))),MAX(0,($J110)-(Model!$G$15*(1+OTCapPct)*(Cap_Tech*$C110*(1-$I110)))),MAX(0,$J110-((BedsCurrent+BedsAdded)*ShiftHours*$F110/BedHr_M)),MAX(0,$J110*Acuity_M-(ImgBase+ImgExpOn*ImgExpAdd)),MAX(0,$J110-(LabBase+LabExpOn*LabExpAdd)))</f>
        <v>0</v>
      </c>
      <c r="N110" s="11">
        <f ca="1">MAX(MAX(0,($K110*(1+0.5*Acuity_E))-(Model!$G$25*(1+OTCapPct)*(Cap_Doc*$C110*(1-$G110)))),MAX(0,($K110)-(Model!$G$7*(1+OTCapPct)*(Cap_Nurse*$C110*(1-$H110)))),MAX(0,($K110)-(Model!$G$16*(1+OTCapPct)*(Cap_Tech*$C110*(1-$I110)))),MAX(0,$K110-((BedsCurrent+BedsAdded)*ShiftHours*$F110/BedHr_E)),MAX(0,$K110*Acuity_E-(ImgBase+ImgExpOn*ImgExpAdd)),MAX(0,$K110-(LabBase+LabExpOn*LabExpAdd)))</f>
        <v>69.890837653636069</v>
      </c>
      <c r="O110" s="11">
        <f ca="1">MAX(MAX(0,($L110*(1+0.5*Acuity_N))-(Model!$G$26*(1+OTCapPct)*(Cap_Doc*$C110*(1-$G110)))),MAX(0,($L110)-(Model!$G$8*(1+OTCapPct)*(Cap_Nurse*$C110*(1-$H110)))),MAX(0,($L110)-(Model!$G$17*(1+OTCapPct)*(Cap_Tech*$C110*(1-$I110)))),MAX(0,$L110-((BedsCurrent+BedsAdded)*ShiftHours*$F110/BedHr_N)),MAX(0,$L110*Acuity_N-(ImgBase+ImgExpOn*ImgExpAdd)),MAX(0,$L110-(LabBase+LabExpOn*LabExpAdd)))</f>
        <v>0</v>
      </c>
      <c r="P110" s="11">
        <f t="shared" ca="1" si="23"/>
        <v>69.890837653636069</v>
      </c>
      <c r="Q110" s="17">
        <f ca="1">((MIN(OTCapPct*Model!$G$24,MAX(0,(($J110*(1+0.5*Acuity_M))/(Cap_Doc*$C110*(1-$G110)))-Model!$G$24)))*OTCost_Doc)+((MIN(OTCapPct*Model!$G$6,MAX(0,(($J110)/(Cap_Nurse*$C110*(1-$H110)))-Model!$G$6)))*OTCost_Nurse)+((MIN(OTCapPct*Model!$G$15,MAX(0,(($J110)/(Cap_Tech*$C110*(1-$I110)))-Model!$G$15)))*OTCost_Tech)+((MIN(OTCapPct*Model!$G$25,MAX(0,(($K110*(1+0.5*Acuity_E))/(Cap_Doc*$C110*(1-$G110)))-Model!$G$25)))*OTCost_Doc)+((MIN(OTCapPct*Model!$G$7,MAX(0,(($K110)/(Cap_Nurse*$C110*(1-$H110)))-Model!$G$7)))*OTCost_Nurse)+((MIN(OTCapPct*Model!$G$16,MAX(0,(($K110)/(Cap_Tech*$C110*(1-$I110)))-Model!$G$16)))*OTCost_Tech)+((MIN(OTCapPct*Model!$G$26,MAX(0,(($L110*(1+0.5*Acuity_N))/(Cap_Doc*$C110*(1-$G110)))-Model!$G$26)))*OTCost_Doc)+((MIN(OTCapPct*Model!$G$8,MAX(0,(($L110)/(Cap_Nurse*$C110*(1-$H110)))-Model!$G$8)))*OTCost_Nurse)+((MIN(OTCapPct*Model!$G$17,MAX(0,(($L110)/(Cap_Tech*$C110*(1-$I110)))-Model!$G$17)))*OTCost_Tech)</f>
        <v>51295.495382103458</v>
      </c>
    </row>
    <row r="111" spans="1:17" x14ac:dyDescent="0.25">
      <c r="A111" s="11">
        <v>107</v>
      </c>
      <c r="B111" s="11" t="str">
        <f t="shared" ca="1" si="12"/>
        <v>Normal</v>
      </c>
      <c r="C111" s="11">
        <f t="shared" ca="1" si="13"/>
        <v>1</v>
      </c>
      <c r="D111" s="11">
        <f t="shared" ca="1" si="14"/>
        <v>0</v>
      </c>
      <c r="E111" s="11">
        <f t="shared" ca="1" si="15"/>
        <v>3</v>
      </c>
      <c r="F111" s="36">
        <f t="shared" ca="1" si="16"/>
        <v>1.1648554074169062</v>
      </c>
      <c r="G111" s="11">
        <f t="shared" ca="1" si="17"/>
        <v>4.0359500682608213E-2</v>
      </c>
      <c r="H111" s="11">
        <f t="shared" ca="1" si="18"/>
        <v>6.6496069226192722E-2</v>
      </c>
      <c r="I111" s="11">
        <f t="shared" ca="1" si="19"/>
        <v>4.6890838927355273E-2</v>
      </c>
      <c r="J111" s="11">
        <f t="shared" ca="1" si="20"/>
        <v>99</v>
      </c>
      <c r="K111" s="11">
        <f t="shared" ca="1" si="21"/>
        <v>120</v>
      </c>
      <c r="L111" s="11">
        <f t="shared" ca="1" si="22"/>
        <v>75</v>
      </c>
      <c r="M111" s="11">
        <f ca="1">MAX(MAX(0,($J111*(1+0.5*Acuity_M))-(Model!$G$24*(1+OTCapPct)*(Cap_Doc*$C111*(1-$G111)))),MAX(0,($J111)-(Model!$G$6*(1+OTCapPct)*(Cap_Nurse*$C111*(1-$H111)))),MAX(0,($J111)-(Model!$G$15*(1+OTCapPct)*(Cap_Tech*$C111*(1-$I111)))),MAX(0,$J111-((BedsCurrent+BedsAdded)*ShiftHours*$F111/BedHr_M)),MAX(0,$J111*Acuity_M-(ImgBase+ImgExpOn*ImgExpAdd)),MAX(0,$J111-(LabBase+LabExpOn*LabExpAdd)))</f>
        <v>4</v>
      </c>
      <c r="N111" s="11">
        <f ca="1">MAX(MAX(0,($K111*(1+0.5*Acuity_E))-(Model!$G$25*(1+OTCapPct)*(Cap_Doc*$C111*(1-$G111)))),MAX(0,($K111)-(Model!$G$7*(1+OTCapPct)*(Cap_Nurse*$C111*(1-$H111)))),MAX(0,($K111)-(Model!$G$16*(1+OTCapPct)*(Cap_Tech*$C111*(1-$I111)))),MAX(0,$K111-((BedsCurrent+BedsAdded)*ShiftHours*$F111/BedHr_E)),MAX(0,$K111*Acuity_E-(ImgBase+ImgExpOn*ImgExpAdd)),MAX(0,$K111-(LabBase+LabExpOn*LabExpAdd)))</f>
        <v>25</v>
      </c>
      <c r="O111" s="11">
        <f ca="1">MAX(MAX(0,($L111*(1+0.5*Acuity_N))-(Model!$G$26*(1+OTCapPct)*(Cap_Doc*$C111*(1-$G111)))),MAX(0,($L111)-(Model!$G$8*(1+OTCapPct)*(Cap_Nurse*$C111*(1-$H111)))),MAX(0,($L111)-(Model!$G$17*(1+OTCapPct)*(Cap_Tech*$C111*(1-$I111)))),MAX(0,$L111-((BedsCurrent+BedsAdded)*ShiftHours*$F111/BedHr_N)),MAX(0,$L111*Acuity_N-(ImgBase+ImgExpOn*ImgExpAdd)),MAX(0,$L111-(LabBase+LabExpOn*LabExpAdd)))</f>
        <v>0</v>
      </c>
      <c r="P111" s="11">
        <f t="shared" ca="1" si="23"/>
        <v>29</v>
      </c>
      <c r="Q111" s="17">
        <f ca="1">((MIN(OTCapPct*Model!$G$24,MAX(0,(($J111*(1+0.5*Acuity_M))/(Cap_Doc*$C111*(1-$G111)))-Model!$G$24)))*OTCost_Doc)+((MIN(OTCapPct*Model!$G$6,MAX(0,(($J111)/(Cap_Nurse*$C111*(1-$H111)))-Model!$G$6)))*OTCost_Nurse)+((MIN(OTCapPct*Model!$G$15,MAX(0,(($J111)/(Cap_Tech*$C111*(1-$I111)))-Model!$G$15)))*OTCost_Tech)+((MIN(OTCapPct*Model!$G$25,MAX(0,(($K111*(1+0.5*Acuity_E))/(Cap_Doc*$C111*(1-$G111)))-Model!$G$25)))*OTCost_Doc)+((MIN(OTCapPct*Model!$G$7,MAX(0,(($K111)/(Cap_Nurse*$C111*(1-$H111)))-Model!$G$7)))*OTCost_Nurse)+((MIN(OTCapPct*Model!$G$16,MAX(0,(($K111)/(Cap_Tech*$C111*(1-$I111)))-Model!$G$16)))*OTCost_Tech)+((MIN(OTCapPct*Model!$G$26,MAX(0,(($L111*(1+0.5*Acuity_N))/(Cap_Doc*$C111*(1-$G111)))-Model!$G$26)))*OTCost_Doc)+((MIN(OTCapPct*Model!$G$8,MAX(0,(($L111)/(Cap_Nurse*$C111*(1-$H111)))-Model!$G$8)))*OTCost_Nurse)+((MIN(OTCapPct*Model!$G$17,MAX(0,(($L111)/(Cap_Tech*$C111*(1-$I111)))-Model!$G$17)))*OTCost_Tech)</f>
        <v>66517.77250558442</v>
      </c>
    </row>
    <row r="112" spans="1:17" x14ac:dyDescent="0.25">
      <c r="A112" s="11">
        <v>108</v>
      </c>
      <c r="B112" s="11" t="str">
        <f t="shared" ca="1" si="12"/>
        <v>Severe</v>
      </c>
      <c r="C112" s="11">
        <f t="shared" ca="1" si="13"/>
        <v>0.8</v>
      </c>
      <c r="D112" s="11">
        <f t="shared" ca="1" si="14"/>
        <v>0</v>
      </c>
      <c r="E112" s="11">
        <f t="shared" ca="1" si="15"/>
        <v>1</v>
      </c>
      <c r="F112" s="36">
        <f t="shared" ca="1" si="16"/>
        <v>0.90017774666475014</v>
      </c>
      <c r="G112" s="11">
        <f t="shared" ca="1" si="17"/>
        <v>1.8332370830220129E-2</v>
      </c>
      <c r="H112" s="11">
        <f t="shared" ca="1" si="18"/>
        <v>0</v>
      </c>
      <c r="I112" s="11">
        <f t="shared" ca="1" si="19"/>
        <v>0</v>
      </c>
      <c r="J112" s="11">
        <f t="shared" ca="1" si="20"/>
        <v>72</v>
      </c>
      <c r="K112" s="11">
        <f t="shared" ca="1" si="21"/>
        <v>140</v>
      </c>
      <c r="L112" s="11">
        <f t="shared" ca="1" si="22"/>
        <v>66</v>
      </c>
      <c r="M112" s="11">
        <f ca="1">MAX(MAX(0,($J112*(1+0.5*Acuity_M))-(Model!$G$24*(1+OTCapPct)*(Cap_Doc*$C112*(1-$G112)))),MAX(0,($J112)-(Model!$G$6*(1+OTCapPct)*(Cap_Nurse*$C112*(1-$H112)))),MAX(0,($J112)-(Model!$G$15*(1+OTCapPct)*(Cap_Tech*$C112*(1-$I112)))),MAX(0,$J112-((BedsCurrent+BedsAdded)*ShiftHours*$F112/BedHr_M)),MAX(0,$J112*Acuity_M-(ImgBase+ImgExpOn*ImgExpAdd)),MAX(0,$J112-(LabBase+LabExpOn*LabExpAdd)))</f>
        <v>0</v>
      </c>
      <c r="N112" s="11">
        <f ca="1">MAX(MAX(0,($K112*(1+0.5*Acuity_E))-(Model!$G$25*(1+OTCapPct)*(Cap_Doc*$C112*(1-$G112)))),MAX(0,($K112)-(Model!$G$7*(1+OTCapPct)*(Cap_Nurse*$C112*(1-$H112)))),MAX(0,($K112)-(Model!$G$16*(1+OTCapPct)*(Cap_Tech*$C112*(1-$I112)))),MAX(0,$K112-((BedsCurrent+BedsAdded)*ShiftHours*$F112/BedHr_E)),MAX(0,$K112*Acuity_E-(ImgBase+ImgExpOn*ImgExpAdd)),MAX(0,$K112-(LabBase+LabExpOn*LabExpAdd)))</f>
        <v>45</v>
      </c>
      <c r="O112" s="11">
        <f ca="1">MAX(MAX(0,($L112*(1+0.5*Acuity_N))-(Model!$G$26*(1+OTCapPct)*(Cap_Doc*$C112*(1-$G112)))),MAX(0,($L112)-(Model!$G$8*(1+OTCapPct)*(Cap_Nurse*$C112*(1-$H112)))),MAX(0,($L112)-(Model!$G$17*(1+OTCapPct)*(Cap_Tech*$C112*(1-$I112)))),MAX(0,$L112-((BedsCurrent+BedsAdded)*ShiftHours*$F112/BedHr_N)),MAX(0,$L112*Acuity_N-(ImgBase+ImgExpOn*ImgExpAdd)),MAX(0,$L112-(LabBase+LabExpOn*LabExpAdd)))</f>
        <v>5.2199306997758441</v>
      </c>
      <c r="P112" s="11">
        <f t="shared" ca="1" si="23"/>
        <v>50.219930699775844</v>
      </c>
      <c r="Q112" s="17">
        <f ca="1">((MIN(OTCapPct*Model!$G$24,MAX(0,(($J112*(1+0.5*Acuity_M))/(Cap_Doc*$C112*(1-$G112)))-Model!$G$24)))*OTCost_Doc)+((MIN(OTCapPct*Model!$G$6,MAX(0,(($J112)/(Cap_Nurse*$C112*(1-$H112)))-Model!$G$6)))*OTCost_Nurse)+((MIN(OTCapPct*Model!$G$15,MAX(0,(($J112)/(Cap_Tech*$C112*(1-$I112)))-Model!$G$15)))*OTCost_Tech)+((MIN(OTCapPct*Model!$G$25,MAX(0,(($K112*(1+0.5*Acuity_E))/(Cap_Doc*$C112*(1-$G112)))-Model!$G$25)))*OTCost_Doc)+((MIN(OTCapPct*Model!$G$7,MAX(0,(($K112)/(Cap_Nurse*$C112*(1-$H112)))-Model!$G$7)))*OTCost_Nurse)+((MIN(OTCapPct*Model!$G$16,MAX(0,(($K112)/(Cap_Tech*$C112*(1-$I112)))-Model!$G$16)))*OTCost_Tech)+((MIN(OTCapPct*Model!$G$26,MAX(0,(($L112*(1+0.5*Acuity_N))/(Cap_Doc*$C112*(1-$G112)))-Model!$G$26)))*OTCost_Doc)+((MIN(OTCapPct*Model!$G$8,MAX(0,(($L112)/(Cap_Nurse*$C112*(1-$H112)))-Model!$G$8)))*OTCost_Nurse)+((MIN(OTCapPct*Model!$G$17,MAX(0,(($L112)/(Cap_Tech*$C112*(1-$I112)))-Model!$G$17)))*OTCost_Tech)</f>
        <v>76136.70360378582</v>
      </c>
    </row>
    <row r="113" spans="1:17" x14ac:dyDescent="0.25">
      <c r="A113" s="11">
        <v>109</v>
      </c>
      <c r="B113" s="11" t="str">
        <f t="shared" ca="1" si="12"/>
        <v>Normal</v>
      </c>
      <c r="C113" s="11">
        <f t="shared" ca="1" si="13"/>
        <v>1</v>
      </c>
      <c r="D113" s="11">
        <f t="shared" ca="1" si="14"/>
        <v>0</v>
      </c>
      <c r="E113" s="11">
        <f t="shared" ca="1" si="15"/>
        <v>3</v>
      </c>
      <c r="F113" s="36">
        <f t="shared" ca="1" si="16"/>
        <v>1.0357399288699782</v>
      </c>
      <c r="G113" s="11">
        <f t="shared" ca="1" si="17"/>
        <v>4.2624530054162293E-2</v>
      </c>
      <c r="H113" s="11">
        <f t="shared" ca="1" si="18"/>
        <v>3.4829249228335198E-2</v>
      </c>
      <c r="I113" s="11">
        <f t="shared" ca="1" si="19"/>
        <v>0</v>
      </c>
      <c r="J113" s="11">
        <f t="shared" ca="1" si="20"/>
        <v>85</v>
      </c>
      <c r="K113" s="11">
        <f t="shared" ca="1" si="21"/>
        <v>146</v>
      </c>
      <c r="L113" s="11">
        <f t="shared" ca="1" si="22"/>
        <v>60</v>
      </c>
      <c r="M113" s="11">
        <f ca="1">MAX(MAX(0,($J113*(1+0.5*Acuity_M))-(Model!$G$24*(1+OTCapPct)*(Cap_Doc*$C113*(1-$G113)))),MAX(0,($J113)-(Model!$G$6*(1+OTCapPct)*(Cap_Nurse*$C113*(1-$H113)))),MAX(0,($J113)-(Model!$G$15*(1+OTCapPct)*(Cap_Tech*$C113*(1-$I113)))),MAX(0,$J113-((BedsCurrent+BedsAdded)*ShiftHours*$F113/BedHr_M)),MAX(0,$J113*Acuity_M-(ImgBase+ImgExpOn*ImgExpAdd)),MAX(0,$J113-(LabBase+LabExpOn*LabExpAdd)))</f>
        <v>0</v>
      </c>
      <c r="N113" s="11">
        <f ca="1">MAX(MAX(0,($K113*(1+0.5*Acuity_E))-(Model!$G$25*(1+OTCapPct)*(Cap_Doc*$C113*(1-$G113)))),MAX(0,($K113)-(Model!$G$7*(1+OTCapPct)*(Cap_Nurse*$C113*(1-$H113)))),MAX(0,($K113)-(Model!$G$16*(1+OTCapPct)*(Cap_Tech*$C113*(1-$I113)))),MAX(0,$K113-((BedsCurrent+BedsAdded)*ShiftHours*$F113/BedHr_E)),MAX(0,$K113*Acuity_E-(ImgBase+ImgExpOn*ImgExpAdd)),MAX(0,$K113-(LabBase+LabExpOn*LabExpAdd)))</f>
        <v>51</v>
      </c>
      <c r="O113" s="11">
        <f ca="1">MAX(MAX(0,($L113*(1+0.5*Acuity_N))-(Model!$G$26*(1+OTCapPct)*(Cap_Doc*$C113*(1-$G113)))),MAX(0,($L113)-(Model!$G$8*(1+OTCapPct)*(Cap_Nurse*$C113*(1-$H113)))),MAX(0,($L113)-(Model!$G$17*(1+OTCapPct)*(Cap_Tech*$C113*(1-$I113)))),MAX(0,$L113-((BedsCurrent+BedsAdded)*ShiftHours*$F113/BedHr_N)),MAX(0,$L113*Acuity_N-(ImgBase+ImgExpOn*ImgExpAdd)),MAX(0,$L113-(LabBase+LabExpOn*LabExpAdd)))</f>
        <v>0</v>
      </c>
      <c r="P113" s="11">
        <f t="shared" ca="1" si="23"/>
        <v>51</v>
      </c>
      <c r="Q113" s="17">
        <f ca="1">((MIN(OTCapPct*Model!$G$24,MAX(0,(($J113*(1+0.5*Acuity_M))/(Cap_Doc*$C113*(1-$G113)))-Model!$G$24)))*OTCost_Doc)+((MIN(OTCapPct*Model!$G$6,MAX(0,(($J113)/(Cap_Nurse*$C113*(1-$H113)))-Model!$G$6)))*OTCost_Nurse)+((MIN(OTCapPct*Model!$G$15,MAX(0,(($J113)/(Cap_Tech*$C113*(1-$I113)))-Model!$G$15)))*OTCost_Tech)+((MIN(OTCapPct*Model!$G$25,MAX(0,(($K113*(1+0.5*Acuity_E))/(Cap_Doc*$C113*(1-$G113)))-Model!$G$25)))*OTCost_Doc)+((MIN(OTCapPct*Model!$G$7,MAX(0,(($K113)/(Cap_Nurse*$C113*(1-$H113)))-Model!$G$7)))*OTCost_Nurse)+((MIN(OTCapPct*Model!$G$16,MAX(0,(($K113)/(Cap_Tech*$C113*(1-$I113)))-Model!$G$16)))*OTCost_Tech)+((MIN(OTCapPct*Model!$G$26,MAX(0,(($L113*(1+0.5*Acuity_N))/(Cap_Doc*$C113*(1-$G113)))-Model!$G$26)))*OTCost_Doc)+((MIN(OTCapPct*Model!$G$8,MAX(0,(($L113)/(Cap_Nurse*$C113*(1-$H113)))-Model!$G$8)))*OTCost_Nurse)+((MIN(OTCapPct*Model!$G$17,MAX(0,(($L113)/(Cap_Tech*$C113*(1-$I113)))-Model!$G$17)))*OTCost_Tech)</f>
        <v>52878.498952398673</v>
      </c>
    </row>
    <row r="114" spans="1:17" x14ac:dyDescent="0.25">
      <c r="A114" s="11">
        <v>110</v>
      </c>
      <c r="B114" s="11" t="str">
        <f t="shared" ca="1" si="12"/>
        <v>Normal</v>
      </c>
      <c r="C114" s="11">
        <f t="shared" ca="1" si="13"/>
        <v>1</v>
      </c>
      <c r="D114" s="11">
        <f t="shared" ca="1" si="14"/>
        <v>0</v>
      </c>
      <c r="E114" s="11">
        <f t="shared" ca="1" si="15"/>
        <v>2</v>
      </c>
      <c r="F114" s="36">
        <f t="shared" ca="1" si="16"/>
        <v>1.0894981507939985</v>
      </c>
      <c r="G114" s="11">
        <f t="shared" ca="1" si="17"/>
        <v>2.145556922595954E-2</v>
      </c>
      <c r="H114" s="11">
        <f t="shared" ca="1" si="18"/>
        <v>9.2613448625874395E-2</v>
      </c>
      <c r="I114" s="11">
        <f t="shared" ca="1" si="19"/>
        <v>0.14456025435654152</v>
      </c>
      <c r="J114" s="11">
        <f t="shared" ca="1" si="20"/>
        <v>102</v>
      </c>
      <c r="K114" s="11">
        <f t="shared" ca="1" si="21"/>
        <v>111</v>
      </c>
      <c r="L114" s="11">
        <f t="shared" ca="1" si="22"/>
        <v>62</v>
      </c>
      <c r="M114" s="11">
        <f ca="1">MAX(MAX(0,($J114*(1+0.5*Acuity_M))-(Model!$G$24*(1+OTCapPct)*(Cap_Doc*$C114*(1-$G114)))),MAX(0,($J114)-(Model!$G$6*(1+OTCapPct)*(Cap_Nurse*$C114*(1-$H114)))),MAX(0,($J114)-(Model!$G$15*(1+OTCapPct)*(Cap_Tech*$C114*(1-$I114)))),MAX(0,$J114-((BedsCurrent+BedsAdded)*ShiftHours*$F114/BedHr_M)),MAX(0,$J114*Acuity_M-(ImgBase+ImgExpOn*ImgExpAdd)),MAX(0,$J114-(LabBase+LabExpOn*LabExpAdd)))</f>
        <v>7</v>
      </c>
      <c r="N114" s="11">
        <f ca="1">MAX(MAX(0,($K114*(1+0.5*Acuity_E))-(Model!$G$25*(1+OTCapPct)*(Cap_Doc*$C114*(1-$G114)))),MAX(0,($K114)-(Model!$G$7*(1+OTCapPct)*(Cap_Nurse*$C114*(1-$H114)))),MAX(0,($K114)-(Model!$G$16*(1+OTCapPct)*(Cap_Tech*$C114*(1-$I114)))),MAX(0,$K114-((BedsCurrent+BedsAdded)*ShiftHours*$F114/BedHr_E)),MAX(0,$K114*Acuity_E-(ImgBase+ImgExpOn*ImgExpAdd)),MAX(0,$K114-(LabBase+LabExpOn*LabExpAdd)))</f>
        <v>16</v>
      </c>
      <c r="O114" s="11">
        <f ca="1">MAX(MAX(0,($L114*(1+0.5*Acuity_N))-(Model!$G$26*(1+OTCapPct)*(Cap_Doc*$C114*(1-$G114)))),MAX(0,($L114)-(Model!$G$8*(1+OTCapPct)*(Cap_Nurse*$C114*(1-$H114)))),MAX(0,($L114)-(Model!$G$17*(1+OTCapPct)*(Cap_Tech*$C114*(1-$I114)))),MAX(0,$L114-((BedsCurrent+BedsAdded)*ShiftHours*$F114/BedHr_N)),MAX(0,$L114*Acuity_N-(ImgBase+ImgExpOn*ImgExpAdd)),MAX(0,$L114-(LabBase+LabExpOn*LabExpAdd)))</f>
        <v>0</v>
      </c>
      <c r="P114" s="11">
        <f t="shared" ca="1" si="23"/>
        <v>23</v>
      </c>
      <c r="Q114" s="17">
        <f ca="1">((MIN(OTCapPct*Model!$G$24,MAX(0,(($J114*(1+0.5*Acuity_M))/(Cap_Doc*$C114*(1-$G114)))-Model!$G$24)))*OTCost_Doc)+((MIN(OTCapPct*Model!$G$6,MAX(0,(($J114)/(Cap_Nurse*$C114*(1-$H114)))-Model!$G$6)))*OTCost_Nurse)+((MIN(OTCapPct*Model!$G$15,MAX(0,(($J114)/(Cap_Tech*$C114*(1-$I114)))-Model!$G$15)))*OTCost_Tech)+((MIN(OTCapPct*Model!$G$25,MAX(0,(($K114*(1+0.5*Acuity_E))/(Cap_Doc*$C114*(1-$G114)))-Model!$G$25)))*OTCost_Doc)+((MIN(OTCapPct*Model!$G$7,MAX(0,(($K114)/(Cap_Nurse*$C114*(1-$H114)))-Model!$G$7)))*OTCost_Nurse)+((MIN(OTCapPct*Model!$G$16,MAX(0,(($K114)/(Cap_Tech*$C114*(1-$I114)))-Model!$G$16)))*OTCost_Tech)+((MIN(OTCapPct*Model!$G$26,MAX(0,(($L114*(1+0.5*Acuity_N))/(Cap_Doc*$C114*(1-$G114)))-Model!$G$26)))*OTCost_Doc)+((MIN(OTCapPct*Model!$G$8,MAX(0,(($L114)/(Cap_Nurse*$C114*(1-$H114)))-Model!$G$8)))*OTCost_Nurse)+((MIN(OTCapPct*Model!$G$17,MAX(0,(($L114)/(Cap_Tech*$C114*(1-$I114)))-Model!$G$17)))*OTCost_Tech)</f>
        <v>38021.411554750914</v>
      </c>
    </row>
    <row r="115" spans="1:17" x14ac:dyDescent="0.25">
      <c r="A115" s="11">
        <v>111</v>
      </c>
      <c r="B115" s="11" t="str">
        <f t="shared" ca="1" si="12"/>
        <v>Complex</v>
      </c>
      <c r="C115" s="11">
        <f t="shared" ca="1" si="13"/>
        <v>0.9</v>
      </c>
      <c r="D115" s="11">
        <f t="shared" ca="1" si="14"/>
        <v>0</v>
      </c>
      <c r="E115" s="11">
        <f t="shared" ca="1" si="15"/>
        <v>3</v>
      </c>
      <c r="F115" s="36">
        <f t="shared" ca="1" si="16"/>
        <v>0.97791342172778073</v>
      </c>
      <c r="G115" s="11">
        <f t="shared" ca="1" si="17"/>
        <v>3.4929441958989976E-2</v>
      </c>
      <c r="H115" s="11">
        <f t="shared" ca="1" si="18"/>
        <v>0.11936013358956084</v>
      </c>
      <c r="I115" s="11">
        <f t="shared" ca="1" si="19"/>
        <v>2.4252277968872724E-2</v>
      </c>
      <c r="J115" s="11">
        <f t="shared" ca="1" si="20"/>
        <v>95</v>
      </c>
      <c r="K115" s="11">
        <f t="shared" ca="1" si="21"/>
        <v>123</v>
      </c>
      <c r="L115" s="11">
        <f t="shared" ca="1" si="22"/>
        <v>47</v>
      </c>
      <c r="M115" s="11">
        <f ca="1">MAX(MAX(0,($J115*(1+0.5*Acuity_M))-(Model!$G$24*(1+OTCapPct)*(Cap_Doc*$C115*(1-$G115)))),MAX(0,($J115)-(Model!$G$6*(1+OTCapPct)*(Cap_Nurse*$C115*(1-$H115)))),MAX(0,($J115)-(Model!$G$15*(1+OTCapPct)*(Cap_Tech*$C115*(1-$I115)))),MAX(0,$J115-((BedsCurrent+BedsAdded)*ShiftHours*$F115/BedHr_M)),MAX(0,$J115*Acuity_M-(ImgBase+ImgExpOn*ImgExpAdd)),MAX(0,$J115-(LabBase+LabExpOn*LabExpAdd)))</f>
        <v>11.779532624213502</v>
      </c>
      <c r="N115" s="11">
        <f ca="1">MAX(MAX(0,($K115*(1+0.5*Acuity_E))-(Model!$G$25*(1+OTCapPct)*(Cap_Doc*$C115*(1-$G115)))),MAX(0,($K115)-(Model!$G$7*(1+OTCapPct)*(Cap_Nurse*$C115*(1-$H115)))),MAX(0,($K115)-(Model!$G$16*(1+OTCapPct)*(Cap_Tech*$C115*(1-$I115)))),MAX(0,$K115-((BedsCurrent+BedsAdded)*ShiftHours*$F115/BedHr_E)),MAX(0,$K115*Acuity_E-(ImgBase+ImgExpOn*ImgExpAdd)),MAX(0,$K115-(LabBase+LabExpOn*LabExpAdd)))</f>
        <v>28</v>
      </c>
      <c r="O115" s="11">
        <f ca="1">MAX(MAX(0,($L115*(1+0.5*Acuity_N))-(Model!$G$26*(1+OTCapPct)*(Cap_Doc*$C115*(1-$G115)))),MAX(0,($L115)-(Model!$G$8*(1+OTCapPct)*(Cap_Nurse*$C115*(1-$H115)))),MAX(0,($L115)-(Model!$G$17*(1+OTCapPct)*(Cap_Tech*$C115*(1-$I115)))),MAX(0,$L115-((BedsCurrent+BedsAdded)*ShiftHours*$F115/BedHr_N)),MAX(0,$L115*Acuity_N-(ImgBase+ImgExpOn*ImgExpAdd)),MAX(0,$L115-(LabBase+LabExpOn*LabExpAdd)))</f>
        <v>0</v>
      </c>
      <c r="P115" s="11">
        <f t="shared" ca="1" si="23"/>
        <v>39.779532624213502</v>
      </c>
      <c r="Q115" s="17">
        <f ca="1">((MIN(OTCapPct*Model!$G$24,MAX(0,(($J115*(1+0.5*Acuity_M))/(Cap_Doc*$C115*(1-$G115)))-Model!$G$24)))*OTCost_Doc)+((MIN(OTCapPct*Model!$G$6,MAX(0,(($J115)/(Cap_Nurse*$C115*(1-$H115)))-Model!$G$6)))*OTCost_Nurse)+((MIN(OTCapPct*Model!$G$15,MAX(0,(($J115)/(Cap_Tech*$C115*(1-$I115)))-Model!$G$15)))*OTCost_Tech)+((MIN(OTCapPct*Model!$G$25,MAX(0,(($K115*(1+0.5*Acuity_E))/(Cap_Doc*$C115*(1-$G115)))-Model!$G$25)))*OTCost_Doc)+((MIN(OTCapPct*Model!$G$7,MAX(0,(($K115)/(Cap_Nurse*$C115*(1-$H115)))-Model!$G$7)))*OTCost_Nurse)+((MIN(OTCapPct*Model!$G$16,MAX(0,(($K115)/(Cap_Tech*$C115*(1-$I115)))-Model!$G$16)))*OTCost_Tech)+((MIN(OTCapPct*Model!$G$26,MAX(0,(($L115*(1+0.5*Acuity_N))/(Cap_Doc*$C115*(1-$G115)))-Model!$G$26)))*OTCost_Doc)+((MIN(OTCapPct*Model!$G$8,MAX(0,(($L115)/(Cap_Nurse*$C115*(1-$H115)))-Model!$G$8)))*OTCost_Nurse)+((MIN(OTCapPct*Model!$G$17,MAX(0,(($L115)/(Cap_Tech*$C115*(1-$I115)))-Model!$G$17)))*OTCost_Tech)</f>
        <v>74498.778753318489</v>
      </c>
    </row>
    <row r="116" spans="1:17" x14ac:dyDescent="0.25">
      <c r="A116" s="11">
        <v>112</v>
      </c>
      <c r="B116" s="11" t="str">
        <f t="shared" ca="1" si="12"/>
        <v>Normal</v>
      </c>
      <c r="C116" s="11">
        <f t="shared" ca="1" si="13"/>
        <v>1</v>
      </c>
      <c r="D116" s="11">
        <f t="shared" ca="1" si="14"/>
        <v>0</v>
      </c>
      <c r="E116" s="11">
        <f t="shared" ca="1" si="15"/>
        <v>3</v>
      </c>
      <c r="F116" s="36">
        <f t="shared" ca="1" si="16"/>
        <v>1.1530158537519026</v>
      </c>
      <c r="G116" s="11">
        <f t="shared" ca="1" si="17"/>
        <v>3.4771321141551473E-2</v>
      </c>
      <c r="H116" s="11">
        <f t="shared" ca="1" si="18"/>
        <v>4.2666659155225647E-2</v>
      </c>
      <c r="I116" s="11">
        <f t="shared" ca="1" si="19"/>
        <v>0.12300253351612089</v>
      </c>
      <c r="J116" s="11">
        <f t="shared" ca="1" si="20"/>
        <v>92</v>
      </c>
      <c r="K116" s="11">
        <f t="shared" ca="1" si="21"/>
        <v>141</v>
      </c>
      <c r="L116" s="11">
        <f t="shared" ca="1" si="22"/>
        <v>60</v>
      </c>
      <c r="M116" s="11">
        <f ca="1">MAX(MAX(0,($J116*(1+0.5*Acuity_M))-(Model!$G$24*(1+OTCapPct)*(Cap_Doc*$C116*(1-$G116)))),MAX(0,($J116)-(Model!$G$6*(1+OTCapPct)*(Cap_Nurse*$C116*(1-$H116)))),MAX(0,($J116)-(Model!$G$15*(1+OTCapPct)*(Cap_Tech*$C116*(1-$I116)))),MAX(0,$J116-((BedsCurrent+BedsAdded)*ShiftHours*$F116/BedHr_M)),MAX(0,$J116*Acuity_M-(ImgBase+ImgExpOn*ImgExpAdd)),MAX(0,$J116-(LabBase+LabExpOn*LabExpAdd)))</f>
        <v>0</v>
      </c>
      <c r="N116" s="11">
        <f ca="1">MAX(MAX(0,($K116*(1+0.5*Acuity_E))-(Model!$G$25*(1+OTCapPct)*(Cap_Doc*$C116*(1-$G116)))),MAX(0,($K116)-(Model!$G$7*(1+OTCapPct)*(Cap_Nurse*$C116*(1-$H116)))),MAX(0,($K116)-(Model!$G$16*(1+OTCapPct)*(Cap_Tech*$C116*(1-$I116)))),MAX(0,$K116-((BedsCurrent+BedsAdded)*ShiftHours*$F116/BedHr_E)),MAX(0,$K116*Acuity_E-(ImgBase+ImgExpOn*ImgExpAdd)),MAX(0,$K116-(LabBase+LabExpOn*LabExpAdd)))</f>
        <v>46</v>
      </c>
      <c r="O116" s="11">
        <f ca="1">MAX(MAX(0,($L116*(1+0.5*Acuity_N))-(Model!$G$26*(1+OTCapPct)*(Cap_Doc*$C116*(1-$G116)))),MAX(0,($L116)-(Model!$G$8*(1+OTCapPct)*(Cap_Nurse*$C116*(1-$H116)))),MAX(0,($L116)-(Model!$G$17*(1+OTCapPct)*(Cap_Tech*$C116*(1-$I116)))),MAX(0,$L116-((BedsCurrent+BedsAdded)*ShiftHours*$F116/BedHr_N)),MAX(0,$L116*Acuity_N-(ImgBase+ImgExpOn*ImgExpAdd)),MAX(0,$L116-(LabBase+LabExpOn*LabExpAdd)))</f>
        <v>0</v>
      </c>
      <c r="P116" s="11">
        <f t="shared" ca="1" si="23"/>
        <v>46</v>
      </c>
      <c r="Q116" s="17">
        <f ca="1">((MIN(OTCapPct*Model!$G$24,MAX(0,(($J116*(1+0.5*Acuity_M))/(Cap_Doc*$C116*(1-$G116)))-Model!$G$24)))*OTCost_Doc)+((MIN(OTCapPct*Model!$G$6,MAX(0,(($J116)/(Cap_Nurse*$C116*(1-$H116)))-Model!$G$6)))*OTCost_Nurse)+((MIN(OTCapPct*Model!$G$15,MAX(0,(($J116)/(Cap_Tech*$C116*(1-$I116)))-Model!$G$15)))*OTCost_Tech)+((MIN(OTCapPct*Model!$G$25,MAX(0,(($K116*(1+0.5*Acuity_E))/(Cap_Doc*$C116*(1-$G116)))-Model!$G$25)))*OTCost_Doc)+((MIN(OTCapPct*Model!$G$7,MAX(0,(($K116)/(Cap_Nurse*$C116*(1-$H116)))-Model!$G$7)))*OTCost_Nurse)+((MIN(OTCapPct*Model!$G$16,MAX(0,(($K116)/(Cap_Tech*$C116*(1-$I116)))-Model!$G$16)))*OTCost_Tech)+((MIN(OTCapPct*Model!$G$26,MAX(0,(($L116*(1+0.5*Acuity_N))/(Cap_Doc*$C116*(1-$G116)))-Model!$G$26)))*OTCost_Doc)+((MIN(OTCapPct*Model!$G$8,MAX(0,(($L116)/(Cap_Nurse*$C116*(1-$H116)))-Model!$G$8)))*OTCost_Nurse)+((MIN(OTCapPct*Model!$G$17,MAX(0,(($L116)/(Cap_Tech*$C116*(1-$I116)))-Model!$G$17)))*OTCost_Tech)</f>
        <v>64291.18525740147</v>
      </c>
    </row>
    <row r="117" spans="1:17" x14ac:dyDescent="0.25">
      <c r="A117" s="11">
        <v>113</v>
      </c>
      <c r="B117" s="11" t="str">
        <f t="shared" ca="1" si="12"/>
        <v>Normal</v>
      </c>
      <c r="C117" s="11">
        <f t="shared" ca="1" si="13"/>
        <v>1</v>
      </c>
      <c r="D117" s="11">
        <f t="shared" ca="1" si="14"/>
        <v>0</v>
      </c>
      <c r="E117" s="11">
        <f t="shared" ca="1" si="15"/>
        <v>2</v>
      </c>
      <c r="F117" s="36">
        <f t="shared" ca="1" si="16"/>
        <v>0.99365916399979726</v>
      </c>
      <c r="G117" s="11">
        <f t="shared" ca="1" si="17"/>
        <v>4.0667998224677107E-2</v>
      </c>
      <c r="H117" s="11">
        <f t="shared" ca="1" si="18"/>
        <v>6.0091367555207824E-2</v>
      </c>
      <c r="I117" s="11">
        <f t="shared" ca="1" si="19"/>
        <v>6.4526492179391354E-2</v>
      </c>
      <c r="J117" s="11">
        <f t="shared" ca="1" si="20"/>
        <v>79</v>
      </c>
      <c r="K117" s="11">
        <f t="shared" ca="1" si="21"/>
        <v>150</v>
      </c>
      <c r="L117" s="11">
        <f t="shared" ca="1" si="22"/>
        <v>60</v>
      </c>
      <c r="M117" s="11">
        <f ca="1">MAX(MAX(0,($J117*(1+0.5*Acuity_M))-(Model!$G$24*(1+OTCapPct)*(Cap_Doc*$C117*(1-$G117)))),MAX(0,($J117)-(Model!$G$6*(1+OTCapPct)*(Cap_Nurse*$C117*(1-$H117)))),MAX(0,($J117)-(Model!$G$15*(1+OTCapPct)*(Cap_Tech*$C117*(1-$I117)))),MAX(0,$J117-((BedsCurrent+BedsAdded)*ShiftHours*$F117/BedHr_M)),MAX(0,$J117*Acuity_M-(ImgBase+ImgExpOn*ImgExpAdd)),MAX(0,$J117-(LabBase+LabExpOn*LabExpAdd)))</f>
        <v>0</v>
      </c>
      <c r="N117" s="11">
        <f ca="1">MAX(MAX(0,($K117*(1+0.5*Acuity_E))-(Model!$G$25*(1+OTCapPct)*(Cap_Doc*$C117*(1-$G117)))),MAX(0,($K117)-(Model!$G$7*(1+OTCapPct)*(Cap_Nurse*$C117*(1-$H117)))),MAX(0,($K117)-(Model!$G$16*(1+OTCapPct)*(Cap_Tech*$C117*(1-$I117)))),MAX(0,$K117-((BedsCurrent+BedsAdded)*ShiftHours*$F117/BedHr_E)),MAX(0,$K117*Acuity_E-(ImgBase+ImgExpOn*ImgExpAdd)),MAX(0,$K117-(LabBase+LabExpOn*LabExpAdd)))</f>
        <v>55</v>
      </c>
      <c r="O117" s="11">
        <f ca="1">MAX(MAX(0,($L117*(1+0.5*Acuity_N))-(Model!$G$26*(1+OTCapPct)*(Cap_Doc*$C117*(1-$G117)))),MAX(0,($L117)-(Model!$G$8*(1+OTCapPct)*(Cap_Nurse*$C117*(1-$H117)))),MAX(0,($L117)-(Model!$G$17*(1+OTCapPct)*(Cap_Tech*$C117*(1-$I117)))),MAX(0,$L117-((BedsCurrent+BedsAdded)*ShiftHours*$F117/BedHr_N)),MAX(0,$L117*Acuity_N-(ImgBase+ImgExpOn*ImgExpAdd)),MAX(0,$L117-(LabBase+LabExpOn*LabExpAdd)))</f>
        <v>0</v>
      </c>
      <c r="P117" s="11">
        <f t="shared" ca="1" si="23"/>
        <v>55</v>
      </c>
      <c r="Q117" s="17">
        <f ca="1">((MIN(OTCapPct*Model!$G$24,MAX(0,(($J117*(1+0.5*Acuity_M))/(Cap_Doc*$C117*(1-$G117)))-Model!$G$24)))*OTCost_Doc)+((MIN(OTCapPct*Model!$G$6,MAX(0,(($J117)/(Cap_Nurse*$C117*(1-$H117)))-Model!$G$6)))*OTCost_Nurse)+((MIN(OTCapPct*Model!$G$15,MAX(0,(($J117)/(Cap_Tech*$C117*(1-$I117)))-Model!$G$15)))*OTCost_Tech)+((MIN(OTCapPct*Model!$G$25,MAX(0,(($K117*(1+0.5*Acuity_E))/(Cap_Doc*$C117*(1-$G117)))-Model!$G$25)))*OTCost_Doc)+((MIN(OTCapPct*Model!$G$7,MAX(0,(($K117)/(Cap_Nurse*$C117*(1-$H117)))-Model!$G$7)))*OTCost_Nurse)+((MIN(OTCapPct*Model!$G$16,MAX(0,(($K117)/(Cap_Tech*$C117*(1-$I117)))-Model!$G$16)))*OTCost_Tech)+((MIN(OTCapPct*Model!$G$26,MAX(0,(($L117*(1+0.5*Acuity_N))/(Cap_Doc*$C117*(1-$G117)))-Model!$G$26)))*OTCost_Doc)+((MIN(OTCapPct*Model!$G$8,MAX(0,(($L117)/(Cap_Nurse*$C117*(1-$H117)))-Model!$G$8)))*OTCost_Nurse)+((MIN(OTCapPct*Model!$G$17,MAX(0,(($L117)/(Cap_Tech*$C117*(1-$I117)))-Model!$G$17)))*OTCost_Tech)</f>
        <v>45957.990480556327</v>
      </c>
    </row>
    <row r="118" spans="1:17" x14ac:dyDescent="0.25">
      <c r="A118" s="11">
        <v>114</v>
      </c>
      <c r="B118" s="11" t="str">
        <f t="shared" ca="1" si="12"/>
        <v>Normal</v>
      </c>
      <c r="C118" s="11">
        <f t="shared" ca="1" si="13"/>
        <v>1</v>
      </c>
      <c r="D118" s="11">
        <f t="shared" ca="1" si="14"/>
        <v>0</v>
      </c>
      <c r="E118" s="11">
        <f t="shared" ca="1" si="15"/>
        <v>1</v>
      </c>
      <c r="F118" s="36">
        <f t="shared" ca="1" si="16"/>
        <v>0.9187986885213546</v>
      </c>
      <c r="G118" s="11">
        <f t="shared" ca="1" si="17"/>
        <v>6.539969561829731E-2</v>
      </c>
      <c r="H118" s="11">
        <f t="shared" ca="1" si="18"/>
        <v>9.981680604287109E-2</v>
      </c>
      <c r="I118" s="11">
        <f t="shared" ca="1" si="19"/>
        <v>1.8520574698615289E-3</v>
      </c>
      <c r="J118" s="11">
        <f t="shared" ca="1" si="20"/>
        <v>85</v>
      </c>
      <c r="K118" s="11">
        <f t="shared" ca="1" si="21"/>
        <v>141</v>
      </c>
      <c r="L118" s="11">
        <f t="shared" ca="1" si="22"/>
        <v>78</v>
      </c>
      <c r="M118" s="11">
        <f ca="1">MAX(MAX(0,($J118*(1+0.5*Acuity_M))-(Model!$G$24*(1+OTCapPct)*(Cap_Doc*$C118*(1-$G118)))),MAX(0,($J118)-(Model!$G$6*(1+OTCapPct)*(Cap_Nurse*$C118*(1-$H118)))),MAX(0,($J118)-(Model!$G$15*(1+OTCapPct)*(Cap_Tech*$C118*(1-$I118)))),MAX(0,$J118-((BedsCurrent+BedsAdded)*ShiftHours*$F118/BedHr_M)),MAX(0,$J118*Acuity_M-(ImgBase+ImgExpOn*ImgExpAdd)),MAX(0,$J118-(LabBase+LabExpOn*LabExpAdd)))</f>
        <v>0</v>
      </c>
      <c r="N118" s="11">
        <f ca="1">MAX(MAX(0,($K118*(1+0.5*Acuity_E))-(Model!$G$25*(1+OTCapPct)*(Cap_Doc*$C118*(1-$G118)))),MAX(0,($K118)-(Model!$G$7*(1+OTCapPct)*(Cap_Nurse*$C118*(1-$H118)))),MAX(0,($K118)-(Model!$G$16*(1+OTCapPct)*(Cap_Tech*$C118*(1-$I118)))),MAX(0,$K118-((BedsCurrent+BedsAdded)*ShiftHours*$F118/BedHr_E)),MAX(0,$K118*Acuity_E-(ImgBase+ImgExpOn*ImgExpAdd)),MAX(0,$K118-(LabBase+LabExpOn*LabExpAdd)))</f>
        <v>46</v>
      </c>
      <c r="O118" s="11">
        <f ca="1">MAX(MAX(0,($L118*(1+0.5*Acuity_N))-(Model!$G$26*(1+OTCapPct)*(Cap_Doc*$C118*(1-$G118)))),MAX(0,($L118)-(Model!$G$8*(1+OTCapPct)*(Cap_Nurse*$C118*(1-$H118)))),MAX(0,($L118)-(Model!$G$17*(1+OTCapPct)*(Cap_Tech*$C118*(1-$I118)))),MAX(0,$L118-((BedsCurrent+BedsAdded)*ShiftHours*$F118/BedHr_N)),MAX(0,$L118*Acuity_N-(ImgBase+ImgExpOn*ImgExpAdd)),MAX(0,$L118-(LabBase+LabExpOn*LabExpAdd)))</f>
        <v>5.5859726056467451</v>
      </c>
      <c r="P118" s="11">
        <f t="shared" ca="1" si="23"/>
        <v>51.585972605646745</v>
      </c>
      <c r="Q118" s="17">
        <f ca="1">((MIN(OTCapPct*Model!$G$24,MAX(0,(($J118*(1+0.5*Acuity_M))/(Cap_Doc*$C118*(1-$G118)))-Model!$G$24)))*OTCost_Doc)+((MIN(OTCapPct*Model!$G$6,MAX(0,(($J118)/(Cap_Nurse*$C118*(1-$H118)))-Model!$G$6)))*OTCost_Nurse)+((MIN(OTCapPct*Model!$G$15,MAX(0,(($J118)/(Cap_Tech*$C118*(1-$I118)))-Model!$G$15)))*OTCost_Tech)+((MIN(OTCapPct*Model!$G$25,MAX(0,(($K118*(1+0.5*Acuity_E))/(Cap_Doc*$C118*(1-$G118)))-Model!$G$25)))*OTCost_Doc)+((MIN(OTCapPct*Model!$G$7,MAX(0,(($K118)/(Cap_Nurse*$C118*(1-$H118)))-Model!$G$7)))*OTCost_Nurse)+((MIN(OTCapPct*Model!$G$16,MAX(0,(($K118)/(Cap_Tech*$C118*(1-$I118)))-Model!$G$16)))*OTCost_Tech)+((MIN(OTCapPct*Model!$G$26,MAX(0,(($L118*(1+0.5*Acuity_N))/(Cap_Doc*$C118*(1-$G118)))-Model!$G$26)))*OTCost_Doc)+((MIN(OTCapPct*Model!$G$8,MAX(0,(($L118)/(Cap_Nurse*$C118*(1-$H118)))-Model!$G$8)))*OTCost_Nurse)+((MIN(OTCapPct*Model!$G$17,MAX(0,(($L118)/(Cap_Tech*$C118*(1-$I118)))-Model!$G$17)))*OTCost_Tech)</f>
        <v>78714.676133884364</v>
      </c>
    </row>
    <row r="119" spans="1:17" x14ac:dyDescent="0.25">
      <c r="A119" s="11">
        <v>115</v>
      </c>
      <c r="B119" s="11" t="str">
        <f t="shared" ca="1" si="12"/>
        <v>Complex</v>
      </c>
      <c r="C119" s="11">
        <f t="shared" ca="1" si="13"/>
        <v>0.9</v>
      </c>
      <c r="D119" s="11">
        <f t="shared" ca="1" si="14"/>
        <v>0</v>
      </c>
      <c r="E119" s="11">
        <f t="shared" ca="1" si="15"/>
        <v>2</v>
      </c>
      <c r="F119" s="36">
        <f t="shared" ca="1" si="16"/>
        <v>1.1677849984308253</v>
      </c>
      <c r="G119" s="11">
        <f t="shared" ca="1" si="17"/>
        <v>5.6852142069236514E-2</v>
      </c>
      <c r="H119" s="11">
        <f t="shared" ca="1" si="18"/>
        <v>2.1222756564480229E-2</v>
      </c>
      <c r="I119" s="11">
        <f t="shared" ca="1" si="19"/>
        <v>0.11037775271347702</v>
      </c>
      <c r="J119" s="11">
        <f t="shared" ca="1" si="20"/>
        <v>111</v>
      </c>
      <c r="K119" s="11">
        <f t="shared" ca="1" si="21"/>
        <v>111</v>
      </c>
      <c r="L119" s="11">
        <f t="shared" ca="1" si="22"/>
        <v>65</v>
      </c>
      <c r="M119" s="11">
        <f ca="1">MAX(MAX(0,($J119*(1+0.5*Acuity_M))-(Model!$G$24*(1+OTCapPct)*(Cap_Doc*$C119*(1-$G119)))),MAX(0,($J119)-(Model!$G$6*(1+OTCapPct)*(Cap_Nurse*$C119*(1-$H119)))),MAX(0,($J119)-(Model!$G$15*(1+OTCapPct)*(Cap_Tech*$C119*(1-$I119)))),MAX(0,$J119-((BedsCurrent+BedsAdded)*ShiftHours*$F119/BedHr_M)),MAX(0,$J119*Acuity_M-(ImgBase+ImgExpOn*ImgExpAdd)),MAX(0,$J119-(LabBase+LabExpOn*LabExpAdd)))</f>
        <v>27.716279384510216</v>
      </c>
      <c r="N119" s="11">
        <f ca="1">MAX(MAX(0,($K119*(1+0.5*Acuity_E))-(Model!$G$25*(1+OTCapPct)*(Cap_Doc*$C119*(1-$G119)))),MAX(0,($K119)-(Model!$G$7*(1+OTCapPct)*(Cap_Nurse*$C119*(1-$H119)))),MAX(0,($K119)-(Model!$G$16*(1+OTCapPct)*(Cap_Tech*$C119*(1-$I119)))),MAX(0,$K119-((BedsCurrent+BedsAdded)*ShiftHours*$F119/BedHr_E)),MAX(0,$K119*Acuity_E-(ImgBase+ImgExpOn*ImgExpAdd)),MAX(0,$K119-(LabBase+LabExpOn*LabExpAdd)))</f>
        <v>16</v>
      </c>
      <c r="O119" s="11">
        <f ca="1">MAX(MAX(0,($L119*(1+0.5*Acuity_N))-(Model!$G$26*(1+OTCapPct)*(Cap_Doc*$C119*(1-$G119)))),MAX(0,($L119)-(Model!$G$8*(1+OTCapPct)*(Cap_Nurse*$C119*(1-$H119)))),MAX(0,($L119)-(Model!$G$17*(1+OTCapPct)*(Cap_Tech*$C119*(1-$I119)))),MAX(0,$L119-((BedsCurrent+BedsAdded)*ShiftHours*$F119/BedHr_N)),MAX(0,$L119*Acuity_N-(ImgBase+ImgExpOn*ImgExpAdd)),MAX(0,$L119-(LabBase+LabExpOn*LabExpAdd)))</f>
        <v>0</v>
      </c>
      <c r="P119" s="11">
        <f t="shared" ca="1" si="23"/>
        <v>43.716279384510216</v>
      </c>
      <c r="Q119" s="17">
        <f ca="1">((MIN(OTCapPct*Model!$G$24,MAX(0,(($J119*(1+0.5*Acuity_M))/(Cap_Doc*$C119*(1-$G119)))-Model!$G$24)))*OTCost_Doc)+((MIN(OTCapPct*Model!$G$6,MAX(0,(($J119)/(Cap_Nurse*$C119*(1-$H119)))-Model!$G$6)))*OTCost_Nurse)+((MIN(OTCapPct*Model!$G$15,MAX(0,(($J119)/(Cap_Tech*$C119*(1-$I119)))-Model!$G$15)))*OTCost_Tech)+((MIN(OTCapPct*Model!$G$25,MAX(0,(($K119*(1+0.5*Acuity_E))/(Cap_Doc*$C119*(1-$G119)))-Model!$G$25)))*OTCost_Doc)+((MIN(OTCapPct*Model!$G$7,MAX(0,(($K119)/(Cap_Nurse*$C119*(1-$H119)))-Model!$G$7)))*OTCost_Nurse)+((MIN(OTCapPct*Model!$G$16,MAX(0,(($K119)/(Cap_Tech*$C119*(1-$I119)))-Model!$G$16)))*OTCost_Tech)+((MIN(OTCapPct*Model!$G$26,MAX(0,(($L119*(1+0.5*Acuity_N))/(Cap_Doc*$C119*(1-$G119)))-Model!$G$26)))*OTCost_Doc)+((MIN(OTCapPct*Model!$G$8,MAX(0,(($L119)/(Cap_Nurse*$C119*(1-$H119)))-Model!$G$8)))*OTCost_Nurse)+((MIN(OTCapPct*Model!$G$17,MAX(0,(($L119)/(Cap_Tech*$C119*(1-$I119)))-Model!$G$17)))*OTCost_Tech)</f>
        <v>68681.637237769406</v>
      </c>
    </row>
    <row r="120" spans="1:17" x14ac:dyDescent="0.25">
      <c r="A120" s="11">
        <v>116</v>
      </c>
      <c r="B120" s="11" t="str">
        <f t="shared" ca="1" si="12"/>
        <v>Normal</v>
      </c>
      <c r="C120" s="11">
        <f t="shared" ca="1" si="13"/>
        <v>1</v>
      </c>
      <c r="D120" s="11">
        <f t="shared" ca="1" si="14"/>
        <v>0</v>
      </c>
      <c r="E120" s="11">
        <f t="shared" ca="1" si="15"/>
        <v>2</v>
      </c>
      <c r="F120" s="36">
        <f t="shared" ca="1" si="16"/>
        <v>1.0415305320253623</v>
      </c>
      <c r="G120" s="11">
        <f t="shared" ca="1" si="17"/>
        <v>0.1127272435293257</v>
      </c>
      <c r="H120" s="11">
        <f t="shared" ca="1" si="18"/>
        <v>4.4042828350478083E-2</v>
      </c>
      <c r="I120" s="11">
        <f t="shared" ca="1" si="19"/>
        <v>0</v>
      </c>
      <c r="J120" s="11">
        <f t="shared" ca="1" si="20"/>
        <v>102</v>
      </c>
      <c r="K120" s="11">
        <f t="shared" ca="1" si="21"/>
        <v>93</v>
      </c>
      <c r="L120" s="11">
        <f t="shared" ca="1" si="22"/>
        <v>49</v>
      </c>
      <c r="M120" s="11">
        <f ca="1">MAX(MAX(0,($J120*(1+0.5*Acuity_M))-(Model!$G$24*(1+OTCapPct)*(Cap_Doc*$C120*(1-$G120)))),MAX(0,($J120)-(Model!$G$6*(1+OTCapPct)*(Cap_Nurse*$C120*(1-$H120)))),MAX(0,($J120)-(Model!$G$15*(1+OTCapPct)*(Cap_Tech*$C120*(1-$I120)))),MAX(0,$J120-((BedsCurrent+BedsAdded)*ShiftHours*$F120/BedHr_M)),MAX(0,$J120*Acuity_M-(ImgBase+ImgExpOn*ImgExpAdd)),MAX(0,$J120-(LabBase+LabExpOn*LabExpAdd)))</f>
        <v>13.401814897049164</v>
      </c>
      <c r="N120" s="11">
        <f ca="1">MAX(MAX(0,($K120*(1+0.5*Acuity_E))-(Model!$G$25*(1+OTCapPct)*(Cap_Doc*$C120*(1-$G120)))),MAX(0,($K120)-(Model!$G$7*(1+OTCapPct)*(Cap_Nurse*$C120*(1-$H120)))),MAX(0,($K120)-(Model!$G$16*(1+OTCapPct)*(Cap_Tech*$C120*(1-$I120)))),MAX(0,$K120-((BedsCurrent+BedsAdded)*ShiftHours*$F120/BedHr_E)),MAX(0,$K120*Acuity_E-(ImgBase+ImgExpOn*ImgExpAdd)),MAX(0,$K120-(LabBase+LabExpOn*LabExpAdd)))</f>
        <v>0</v>
      </c>
      <c r="O120" s="11">
        <f ca="1">MAX(MAX(0,($L120*(1+0.5*Acuity_N))-(Model!$G$26*(1+OTCapPct)*(Cap_Doc*$C120*(1-$G120)))),MAX(0,($L120)-(Model!$G$8*(1+OTCapPct)*(Cap_Nurse*$C120*(1-$H120)))),MAX(0,($L120)-(Model!$G$17*(1+OTCapPct)*(Cap_Tech*$C120*(1-$I120)))),MAX(0,$L120-((BedsCurrent+BedsAdded)*ShiftHours*$F120/BedHr_N)),MAX(0,$L120*Acuity_N-(ImgBase+ImgExpOn*ImgExpAdd)),MAX(0,$L120-(LabBase+LabExpOn*LabExpAdd)))</f>
        <v>0</v>
      </c>
      <c r="P120" s="11">
        <f t="shared" ca="1" si="23"/>
        <v>13.401814897049164</v>
      </c>
      <c r="Q120" s="17">
        <f ca="1">((MIN(OTCapPct*Model!$G$24,MAX(0,(($J120*(1+0.5*Acuity_M))/(Cap_Doc*$C120*(1-$G120)))-Model!$G$24)))*OTCost_Doc)+((MIN(OTCapPct*Model!$G$6,MAX(0,(($J120)/(Cap_Nurse*$C120*(1-$H120)))-Model!$G$6)))*OTCost_Nurse)+((MIN(OTCapPct*Model!$G$15,MAX(0,(($J120)/(Cap_Tech*$C120*(1-$I120)))-Model!$G$15)))*OTCost_Tech)+((MIN(OTCapPct*Model!$G$25,MAX(0,(($K120*(1+0.5*Acuity_E))/(Cap_Doc*$C120*(1-$G120)))-Model!$G$25)))*OTCost_Doc)+((MIN(OTCapPct*Model!$G$7,MAX(0,(($K120)/(Cap_Nurse*$C120*(1-$H120)))-Model!$G$7)))*OTCost_Nurse)+((MIN(OTCapPct*Model!$G$16,MAX(0,(($K120)/(Cap_Tech*$C120*(1-$I120)))-Model!$G$16)))*OTCost_Tech)+((MIN(OTCapPct*Model!$G$26,MAX(0,(($L120*(1+0.5*Acuity_N))/(Cap_Doc*$C120*(1-$G120)))-Model!$G$26)))*OTCost_Doc)+((MIN(OTCapPct*Model!$G$8,MAX(0,(($L120)/(Cap_Nurse*$C120*(1-$H120)))-Model!$G$8)))*OTCost_Nurse)+((MIN(OTCapPct*Model!$G$17,MAX(0,(($L120)/(Cap_Tech*$C120*(1-$I120)))-Model!$G$17)))*OTCost_Tech)</f>
        <v>30250</v>
      </c>
    </row>
    <row r="121" spans="1:17" x14ac:dyDescent="0.25">
      <c r="A121" s="11">
        <v>117</v>
      </c>
      <c r="B121" s="11" t="str">
        <f t="shared" ca="1" si="12"/>
        <v>Complex</v>
      </c>
      <c r="C121" s="11">
        <f t="shared" ca="1" si="13"/>
        <v>0.9</v>
      </c>
      <c r="D121" s="11">
        <f t="shared" ca="1" si="14"/>
        <v>0</v>
      </c>
      <c r="E121" s="11">
        <f t="shared" ca="1" si="15"/>
        <v>2</v>
      </c>
      <c r="F121" s="36">
        <f t="shared" ca="1" si="16"/>
        <v>1.116175845086155</v>
      </c>
      <c r="G121" s="11">
        <f t="shared" ca="1" si="17"/>
        <v>0</v>
      </c>
      <c r="H121" s="11">
        <f t="shared" ca="1" si="18"/>
        <v>9.275471000961831E-2</v>
      </c>
      <c r="I121" s="11">
        <f t="shared" ca="1" si="19"/>
        <v>0</v>
      </c>
      <c r="J121" s="11">
        <f t="shared" ca="1" si="20"/>
        <v>87</v>
      </c>
      <c r="K121" s="11">
        <f t="shared" ca="1" si="21"/>
        <v>118</v>
      </c>
      <c r="L121" s="11">
        <f t="shared" ca="1" si="22"/>
        <v>57</v>
      </c>
      <c r="M121" s="11">
        <f ca="1">MAX(MAX(0,($J121*(1+0.5*Acuity_M))-(Model!$G$24*(1+OTCapPct)*(Cap_Doc*$C121*(1-$G121)))),MAX(0,($J121)-(Model!$G$6*(1+OTCapPct)*(Cap_Nurse*$C121*(1-$H121)))),MAX(0,($J121)-(Model!$G$15*(1+OTCapPct)*(Cap_Tech*$C121*(1-$I121)))),MAX(0,$J121-((BedsCurrent+BedsAdded)*ShiftHours*$F121/BedHr_M)),MAX(0,$J121*Acuity_M-(ImgBase+ImgExpOn*ImgExpAdd)),MAX(0,$J121-(LabBase+LabExpOn*LabExpAdd)))</f>
        <v>1.2653200959089332</v>
      </c>
      <c r="N121" s="11">
        <f ca="1">MAX(MAX(0,($K121*(1+0.5*Acuity_E))-(Model!$G$25*(1+OTCapPct)*(Cap_Doc*$C121*(1-$G121)))),MAX(0,($K121)-(Model!$G$7*(1+OTCapPct)*(Cap_Nurse*$C121*(1-$H121)))),MAX(0,($K121)-(Model!$G$16*(1+OTCapPct)*(Cap_Tech*$C121*(1-$I121)))),MAX(0,$K121-((BedsCurrent+BedsAdded)*ShiftHours*$F121/BedHr_E)),MAX(0,$K121*Acuity_E-(ImgBase+ImgExpOn*ImgExpAdd)),MAX(0,$K121-(LabBase+LabExpOn*LabExpAdd)))</f>
        <v>23</v>
      </c>
      <c r="O121" s="11">
        <f ca="1">MAX(MAX(0,($L121*(1+0.5*Acuity_N))-(Model!$G$26*(1+OTCapPct)*(Cap_Doc*$C121*(1-$G121)))),MAX(0,($L121)-(Model!$G$8*(1+OTCapPct)*(Cap_Nurse*$C121*(1-$H121)))),MAX(0,($L121)-(Model!$G$17*(1+OTCapPct)*(Cap_Tech*$C121*(1-$I121)))),MAX(0,$L121-((BedsCurrent+BedsAdded)*ShiftHours*$F121/BedHr_N)),MAX(0,$L121*Acuity_N-(ImgBase+ImgExpOn*ImgExpAdd)),MAX(0,$L121-(LabBase+LabExpOn*LabExpAdd)))</f>
        <v>0</v>
      </c>
      <c r="P121" s="11">
        <f t="shared" ca="1" si="23"/>
        <v>24.265320095908933</v>
      </c>
      <c r="Q121" s="17">
        <f ca="1">((MIN(OTCapPct*Model!$G$24,MAX(0,(($J121*(1+0.5*Acuity_M))/(Cap_Doc*$C121*(1-$G121)))-Model!$G$24)))*OTCost_Doc)+((MIN(OTCapPct*Model!$G$6,MAX(0,(($J121)/(Cap_Nurse*$C121*(1-$H121)))-Model!$G$6)))*OTCost_Nurse)+((MIN(OTCapPct*Model!$G$15,MAX(0,(($J121)/(Cap_Tech*$C121*(1-$I121)))-Model!$G$15)))*OTCost_Tech)+((MIN(OTCapPct*Model!$G$25,MAX(0,(($K121*(1+0.5*Acuity_E))/(Cap_Doc*$C121*(1-$G121)))-Model!$G$25)))*OTCost_Doc)+((MIN(OTCapPct*Model!$G$7,MAX(0,(($K121)/(Cap_Nurse*$C121*(1-$H121)))-Model!$G$7)))*OTCost_Nurse)+((MIN(OTCapPct*Model!$G$16,MAX(0,(($K121)/(Cap_Tech*$C121*(1-$I121)))-Model!$G$16)))*OTCost_Tech)+((MIN(OTCapPct*Model!$G$26,MAX(0,(($L121*(1+0.5*Acuity_N))/(Cap_Doc*$C121*(1-$G121)))-Model!$G$26)))*OTCost_Doc)+((MIN(OTCapPct*Model!$G$8,MAX(0,(($L121)/(Cap_Nurse*$C121*(1-$H121)))-Model!$G$8)))*OTCost_Nurse)+((MIN(OTCapPct*Model!$G$17,MAX(0,(($L121)/(Cap_Tech*$C121*(1-$I121)))-Model!$G$17)))*OTCost_Tech)</f>
        <v>58817.254464461388</v>
      </c>
    </row>
    <row r="122" spans="1:17" x14ac:dyDescent="0.25">
      <c r="A122" s="11">
        <v>118</v>
      </c>
      <c r="B122" s="11" t="str">
        <f t="shared" ca="1" si="12"/>
        <v>Normal</v>
      </c>
      <c r="C122" s="11">
        <f t="shared" ca="1" si="13"/>
        <v>1</v>
      </c>
      <c r="D122" s="11">
        <f t="shared" ca="1" si="14"/>
        <v>0</v>
      </c>
      <c r="E122" s="11">
        <f t="shared" ca="1" si="15"/>
        <v>1</v>
      </c>
      <c r="F122" s="36">
        <f t="shared" ca="1" si="16"/>
        <v>0.98124532340127402</v>
      </c>
      <c r="G122" s="11">
        <f t="shared" ca="1" si="17"/>
        <v>4.5778013379513677E-2</v>
      </c>
      <c r="H122" s="11">
        <f t="shared" ca="1" si="18"/>
        <v>4.4020722775824556E-2</v>
      </c>
      <c r="I122" s="11">
        <f t="shared" ca="1" si="19"/>
        <v>6.3853021526335513E-2</v>
      </c>
      <c r="J122" s="11">
        <f t="shared" ca="1" si="20"/>
        <v>81</v>
      </c>
      <c r="K122" s="11">
        <f t="shared" ca="1" si="21"/>
        <v>141</v>
      </c>
      <c r="L122" s="11">
        <f t="shared" ca="1" si="22"/>
        <v>73</v>
      </c>
      <c r="M122" s="11">
        <f ca="1">MAX(MAX(0,($J122*(1+0.5*Acuity_M))-(Model!$G$24*(1+OTCapPct)*(Cap_Doc*$C122*(1-$G122)))),MAX(0,($J122)-(Model!$G$6*(1+OTCapPct)*(Cap_Nurse*$C122*(1-$H122)))),MAX(0,($J122)-(Model!$G$15*(1+OTCapPct)*(Cap_Tech*$C122*(1-$I122)))),MAX(0,$J122-((BedsCurrent+BedsAdded)*ShiftHours*$F122/BedHr_M)),MAX(0,$J122*Acuity_M-(ImgBase+ImgExpOn*ImgExpAdd)),MAX(0,$J122-(LabBase+LabExpOn*LabExpAdd)))</f>
        <v>0</v>
      </c>
      <c r="N122" s="11">
        <f ca="1">MAX(MAX(0,($K122*(1+0.5*Acuity_E))-(Model!$G$25*(1+OTCapPct)*(Cap_Doc*$C122*(1-$G122)))),MAX(0,($K122)-(Model!$G$7*(1+OTCapPct)*(Cap_Nurse*$C122*(1-$H122)))),MAX(0,($K122)-(Model!$G$16*(1+OTCapPct)*(Cap_Tech*$C122*(1-$I122)))),MAX(0,$K122-((BedsCurrent+BedsAdded)*ShiftHours*$F122/BedHr_E)),MAX(0,$K122*Acuity_E-(ImgBase+ImgExpOn*ImgExpAdd)),MAX(0,$K122-(LabBase+LabExpOn*LabExpAdd)))</f>
        <v>46</v>
      </c>
      <c r="O122" s="11">
        <f ca="1">MAX(MAX(0,($L122*(1+0.5*Acuity_N))-(Model!$G$26*(1+OTCapPct)*(Cap_Doc*$C122*(1-$G122)))),MAX(0,($L122)-(Model!$G$8*(1+OTCapPct)*(Cap_Nurse*$C122*(1-$H122)))),MAX(0,($L122)-(Model!$G$17*(1+OTCapPct)*(Cap_Tech*$C122*(1-$I122)))),MAX(0,$L122-((BedsCurrent+BedsAdded)*ShiftHours*$F122/BedHr_N)),MAX(0,$L122*Acuity_N-(ImgBase+ImgExpOn*ImgExpAdd)),MAX(0,$L122-(LabBase+LabExpOn*LabExpAdd)))</f>
        <v>0</v>
      </c>
      <c r="P122" s="11">
        <f t="shared" ca="1" si="23"/>
        <v>46</v>
      </c>
      <c r="Q122" s="17">
        <f ca="1">((MIN(OTCapPct*Model!$G$24,MAX(0,(($J122*(1+0.5*Acuity_M))/(Cap_Doc*$C122*(1-$G122)))-Model!$G$24)))*OTCost_Doc)+((MIN(OTCapPct*Model!$G$6,MAX(0,(($J122)/(Cap_Nurse*$C122*(1-$H122)))-Model!$G$6)))*OTCost_Nurse)+((MIN(OTCapPct*Model!$G$15,MAX(0,(($J122)/(Cap_Tech*$C122*(1-$I122)))-Model!$G$15)))*OTCost_Tech)+((MIN(OTCapPct*Model!$G$25,MAX(0,(($K122*(1+0.5*Acuity_E))/(Cap_Doc*$C122*(1-$G122)))-Model!$G$25)))*OTCost_Doc)+((MIN(OTCapPct*Model!$G$7,MAX(0,(($K122)/(Cap_Nurse*$C122*(1-$H122)))-Model!$G$7)))*OTCost_Nurse)+((MIN(OTCapPct*Model!$G$16,MAX(0,(($K122)/(Cap_Tech*$C122*(1-$I122)))-Model!$G$16)))*OTCost_Tech)+((MIN(OTCapPct*Model!$G$26,MAX(0,(($L122*(1+0.5*Acuity_N))/(Cap_Doc*$C122*(1-$G122)))-Model!$G$26)))*OTCost_Doc)+((MIN(OTCapPct*Model!$G$8,MAX(0,(($L122)/(Cap_Nurse*$C122*(1-$H122)))-Model!$G$8)))*OTCost_Nurse)+((MIN(OTCapPct*Model!$G$17,MAX(0,(($L122)/(Cap_Tech*$C122*(1-$I122)))-Model!$G$17)))*OTCost_Tech)</f>
        <v>61425.310726851065</v>
      </c>
    </row>
    <row r="123" spans="1:17" x14ac:dyDescent="0.25">
      <c r="A123" s="11">
        <v>119</v>
      </c>
      <c r="B123" s="11" t="str">
        <f t="shared" ca="1" si="12"/>
        <v>Normal</v>
      </c>
      <c r="C123" s="11">
        <f t="shared" ca="1" si="13"/>
        <v>1</v>
      </c>
      <c r="D123" s="11">
        <f t="shared" ca="1" si="14"/>
        <v>0</v>
      </c>
      <c r="E123" s="11">
        <f t="shared" ca="1" si="15"/>
        <v>2</v>
      </c>
      <c r="F123" s="36">
        <f t="shared" ca="1" si="16"/>
        <v>1.092046720495589</v>
      </c>
      <c r="G123" s="11">
        <f t="shared" ca="1" si="17"/>
        <v>0</v>
      </c>
      <c r="H123" s="11">
        <f t="shared" ca="1" si="18"/>
        <v>9.5453414596842104E-2</v>
      </c>
      <c r="I123" s="11">
        <f t="shared" ca="1" si="19"/>
        <v>0.10695429963783989</v>
      </c>
      <c r="J123" s="11">
        <f t="shared" ca="1" si="20"/>
        <v>82</v>
      </c>
      <c r="K123" s="11">
        <f t="shared" ca="1" si="21"/>
        <v>116</v>
      </c>
      <c r="L123" s="11">
        <f t="shared" ca="1" si="22"/>
        <v>70</v>
      </c>
      <c r="M123" s="11">
        <f ca="1">MAX(MAX(0,($J123*(1+0.5*Acuity_M))-(Model!$G$24*(1+OTCapPct)*(Cap_Doc*$C123*(1-$G123)))),MAX(0,($J123)-(Model!$G$6*(1+OTCapPct)*(Cap_Nurse*$C123*(1-$H123)))),MAX(0,($J123)-(Model!$G$15*(1+OTCapPct)*(Cap_Tech*$C123*(1-$I123)))),MAX(0,$J123-((BedsCurrent+BedsAdded)*ShiftHours*$F123/BedHr_M)),MAX(0,$J123*Acuity_M-(ImgBase+ImgExpOn*ImgExpAdd)),MAX(0,$J123-(LabBase+LabExpOn*LabExpAdd)))</f>
        <v>0</v>
      </c>
      <c r="N123" s="11">
        <f ca="1">MAX(MAX(0,($K123*(1+0.5*Acuity_E))-(Model!$G$25*(1+OTCapPct)*(Cap_Doc*$C123*(1-$G123)))),MAX(0,($K123)-(Model!$G$7*(1+OTCapPct)*(Cap_Nurse*$C123*(1-$H123)))),MAX(0,($K123)-(Model!$G$16*(1+OTCapPct)*(Cap_Tech*$C123*(1-$I123)))),MAX(0,$K123-((BedsCurrent+BedsAdded)*ShiftHours*$F123/BedHr_E)),MAX(0,$K123*Acuity_E-(ImgBase+ImgExpOn*ImgExpAdd)),MAX(0,$K123-(LabBase+LabExpOn*LabExpAdd)))</f>
        <v>21</v>
      </c>
      <c r="O123" s="11">
        <f ca="1">MAX(MAX(0,($L123*(1+0.5*Acuity_N))-(Model!$G$26*(1+OTCapPct)*(Cap_Doc*$C123*(1-$G123)))),MAX(0,($L123)-(Model!$G$8*(1+OTCapPct)*(Cap_Nurse*$C123*(1-$H123)))),MAX(0,($L123)-(Model!$G$17*(1+OTCapPct)*(Cap_Tech*$C123*(1-$I123)))),MAX(0,$L123-((BedsCurrent+BedsAdded)*ShiftHours*$F123/BedHr_N)),MAX(0,$L123*Acuity_N-(ImgBase+ImgExpOn*ImgExpAdd)),MAX(0,$L123-(LabBase+LabExpOn*LabExpAdd)))</f>
        <v>0</v>
      </c>
      <c r="P123" s="11">
        <f t="shared" ca="1" si="23"/>
        <v>21</v>
      </c>
      <c r="Q123" s="17">
        <f ca="1">((MIN(OTCapPct*Model!$G$24,MAX(0,(($J123*(1+0.5*Acuity_M))/(Cap_Doc*$C123*(1-$G123)))-Model!$G$24)))*OTCost_Doc)+((MIN(OTCapPct*Model!$G$6,MAX(0,(($J123)/(Cap_Nurse*$C123*(1-$H123)))-Model!$G$6)))*OTCost_Nurse)+((MIN(OTCapPct*Model!$G$15,MAX(0,(($J123)/(Cap_Tech*$C123*(1-$I123)))-Model!$G$15)))*OTCost_Tech)+((MIN(OTCapPct*Model!$G$25,MAX(0,(($K123*(1+0.5*Acuity_E))/(Cap_Doc*$C123*(1-$G123)))-Model!$G$25)))*OTCost_Doc)+((MIN(OTCapPct*Model!$G$7,MAX(0,(($K123)/(Cap_Nurse*$C123*(1-$H123)))-Model!$G$7)))*OTCost_Nurse)+((MIN(OTCapPct*Model!$G$16,MAX(0,(($K123)/(Cap_Tech*$C123*(1-$I123)))-Model!$G$16)))*OTCost_Tech)+((MIN(OTCapPct*Model!$G$26,MAX(0,(($L123*(1+0.5*Acuity_N))/(Cap_Doc*$C123*(1-$G123)))-Model!$G$26)))*OTCost_Doc)+((MIN(OTCapPct*Model!$G$8,MAX(0,(($L123)/(Cap_Nurse*$C123*(1-$H123)))-Model!$G$8)))*OTCost_Nurse)+((MIN(OTCapPct*Model!$G$17,MAX(0,(($L123)/(Cap_Tech*$C123*(1-$I123)))-Model!$G$17)))*OTCost_Tech)</f>
        <v>24757.757778289852</v>
      </c>
    </row>
    <row r="124" spans="1:17" x14ac:dyDescent="0.25">
      <c r="A124" s="11">
        <v>120</v>
      </c>
      <c r="B124" s="11" t="str">
        <f t="shared" ca="1" si="12"/>
        <v>Normal</v>
      </c>
      <c r="C124" s="11">
        <f t="shared" ca="1" si="13"/>
        <v>1</v>
      </c>
      <c r="D124" s="11">
        <f t="shared" ca="1" si="14"/>
        <v>0</v>
      </c>
      <c r="E124" s="11">
        <f t="shared" ca="1" si="15"/>
        <v>1</v>
      </c>
      <c r="F124" s="36">
        <f t="shared" ca="1" si="16"/>
        <v>1.0685237539527734</v>
      </c>
      <c r="G124" s="11">
        <f t="shared" ca="1" si="17"/>
        <v>0</v>
      </c>
      <c r="H124" s="11">
        <f t="shared" ca="1" si="18"/>
        <v>5.7879332442133467E-2</v>
      </c>
      <c r="I124" s="11">
        <f t="shared" ca="1" si="19"/>
        <v>0</v>
      </c>
      <c r="J124" s="11">
        <f t="shared" ca="1" si="20"/>
        <v>97</v>
      </c>
      <c r="K124" s="11">
        <f t="shared" ca="1" si="21"/>
        <v>157</v>
      </c>
      <c r="L124" s="11">
        <f t="shared" ca="1" si="22"/>
        <v>61</v>
      </c>
      <c r="M124" s="11">
        <f ca="1">MAX(MAX(0,($J124*(1+0.5*Acuity_M))-(Model!$G$24*(1+OTCapPct)*(Cap_Doc*$C124*(1-$G124)))),MAX(0,($J124)-(Model!$G$6*(1+OTCapPct)*(Cap_Nurse*$C124*(1-$H124)))),MAX(0,($J124)-(Model!$G$15*(1+OTCapPct)*(Cap_Tech*$C124*(1-$I124)))),MAX(0,$J124-((BedsCurrent+BedsAdded)*ShiftHours*$F124/BedHr_M)),MAX(0,$J124*Acuity_M-(ImgBase+ImgExpOn*ImgExpAdd)),MAX(0,$J124-(LabBase+LabExpOn*LabExpAdd)))</f>
        <v>2</v>
      </c>
      <c r="N124" s="11">
        <f ca="1">MAX(MAX(0,($K124*(1+0.5*Acuity_E))-(Model!$G$25*(1+OTCapPct)*(Cap_Doc*$C124*(1-$G124)))),MAX(0,($K124)-(Model!$G$7*(1+OTCapPct)*(Cap_Nurse*$C124*(1-$H124)))),MAX(0,($K124)-(Model!$G$16*(1+OTCapPct)*(Cap_Tech*$C124*(1-$I124)))),MAX(0,$K124-((BedsCurrent+BedsAdded)*ShiftHours*$F124/BedHr_E)),MAX(0,$K124*Acuity_E-(ImgBase+ImgExpOn*ImgExpAdd)),MAX(0,$K124-(LabBase+LabExpOn*LabExpAdd)))</f>
        <v>62</v>
      </c>
      <c r="O124" s="11">
        <f ca="1">MAX(MAX(0,($L124*(1+0.5*Acuity_N))-(Model!$G$26*(1+OTCapPct)*(Cap_Doc*$C124*(1-$G124)))),MAX(0,($L124)-(Model!$G$8*(1+OTCapPct)*(Cap_Nurse*$C124*(1-$H124)))),MAX(0,($L124)-(Model!$G$17*(1+OTCapPct)*(Cap_Tech*$C124*(1-$I124)))),MAX(0,$L124-((BedsCurrent+BedsAdded)*ShiftHours*$F124/BedHr_N)),MAX(0,$L124*Acuity_N-(ImgBase+ImgExpOn*ImgExpAdd)),MAX(0,$L124-(LabBase+LabExpOn*LabExpAdd)))</f>
        <v>0</v>
      </c>
      <c r="P124" s="11">
        <f t="shared" ca="1" si="23"/>
        <v>64</v>
      </c>
      <c r="Q124" s="17">
        <f ca="1">((MIN(OTCapPct*Model!$G$24,MAX(0,(($J124*(1+0.5*Acuity_M))/(Cap_Doc*$C124*(1-$G124)))-Model!$G$24)))*OTCost_Doc)+((MIN(OTCapPct*Model!$G$6,MAX(0,(($J124)/(Cap_Nurse*$C124*(1-$H124)))-Model!$G$6)))*OTCost_Nurse)+((MIN(OTCapPct*Model!$G$15,MAX(0,(($J124)/(Cap_Tech*$C124*(1-$I124)))-Model!$G$15)))*OTCost_Tech)+((MIN(OTCapPct*Model!$G$25,MAX(0,(($K124*(1+0.5*Acuity_E))/(Cap_Doc*$C124*(1-$G124)))-Model!$G$25)))*OTCost_Doc)+((MIN(OTCapPct*Model!$G$7,MAX(0,(($K124)/(Cap_Nurse*$C124*(1-$H124)))-Model!$G$7)))*OTCost_Nurse)+((MIN(OTCapPct*Model!$G$16,MAX(0,(($K124)/(Cap_Tech*$C124*(1-$I124)))-Model!$G$16)))*OTCost_Tech)+((MIN(OTCapPct*Model!$G$26,MAX(0,(($L124*(1+0.5*Acuity_N))/(Cap_Doc*$C124*(1-$G124)))-Model!$G$26)))*OTCost_Doc)+((MIN(OTCapPct*Model!$G$8,MAX(0,(($L124)/(Cap_Nurse*$C124*(1-$H124)))-Model!$G$8)))*OTCost_Nurse)+((MIN(OTCapPct*Model!$G$17,MAX(0,(($L124)/(Cap_Tech*$C124*(1-$I124)))-Model!$G$17)))*OTCost_Tech)</f>
        <v>69563.738947533202</v>
      </c>
    </row>
    <row r="125" spans="1:17" x14ac:dyDescent="0.25">
      <c r="A125" s="11">
        <v>121</v>
      </c>
      <c r="B125" s="11" t="str">
        <f t="shared" ca="1" si="12"/>
        <v>Complex</v>
      </c>
      <c r="C125" s="11">
        <f t="shared" ca="1" si="13"/>
        <v>0.9</v>
      </c>
      <c r="D125" s="11">
        <f t="shared" ca="1" si="14"/>
        <v>0</v>
      </c>
      <c r="E125" s="11">
        <f t="shared" ca="1" si="15"/>
        <v>3</v>
      </c>
      <c r="F125" s="36">
        <f t="shared" ca="1" si="16"/>
        <v>0.9807992086575914</v>
      </c>
      <c r="G125" s="11">
        <f t="shared" ca="1" si="17"/>
        <v>0.10641398283437448</v>
      </c>
      <c r="H125" s="11">
        <f t="shared" ca="1" si="18"/>
        <v>0</v>
      </c>
      <c r="I125" s="11">
        <f t="shared" ca="1" si="19"/>
        <v>0.20288120296502787</v>
      </c>
      <c r="J125" s="11">
        <f t="shared" ca="1" si="20"/>
        <v>86</v>
      </c>
      <c r="K125" s="11">
        <f t="shared" ca="1" si="21"/>
        <v>118</v>
      </c>
      <c r="L125" s="11">
        <f t="shared" ca="1" si="22"/>
        <v>71</v>
      </c>
      <c r="M125" s="11">
        <f ca="1">MAX(MAX(0,($J125*(1+0.5*Acuity_M))-(Model!$G$24*(1+OTCapPct)*(Cap_Doc*$C125*(1-$G125)))),MAX(0,($J125)-(Model!$G$6*(1+OTCapPct)*(Cap_Nurse*$C125*(1-$H125)))),MAX(0,($J125)-(Model!$G$15*(1+OTCapPct)*(Cap_Tech*$C125*(1-$I125)))),MAX(0,$J125-((BedsCurrent+BedsAdded)*ShiftHours*$F125/BedHr_M)),MAX(0,$J125*Acuity_M-(ImgBase+ImgExpOn*ImgExpAdd)),MAX(0,$J125-(LabBase+LabExpOn*LabExpAdd)))</f>
        <v>5.2917218002090749</v>
      </c>
      <c r="N125" s="11">
        <f ca="1">MAX(MAX(0,($K125*(1+0.5*Acuity_E))-(Model!$G$25*(1+OTCapPct)*(Cap_Doc*$C125*(1-$G125)))),MAX(0,($K125)-(Model!$G$7*(1+OTCapPct)*(Cap_Nurse*$C125*(1-$H125)))),MAX(0,($K125)-(Model!$G$16*(1+OTCapPct)*(Cap_Tech*$C125*(1-$I125)))),MAX(0,$K125-((BedsCurrent+BedsAdded)*ShiftHours*$F125/BedHr_E)),MAX(0,$K125*Acuity_E-(ImgBase+ImgExpOn*ImgExpAdd)),MAX(0,$K125-(LabBase+LabExpOn*LabExpAdd)))</f>
        <v>23</v>
      </c>
      <c r="O125" s="11">
        <f ca="1">MAX(MAX(0,($L125*(1+0.5*Acuity_N))-(Model!$G$26*(1+OTCapPct)*(Cap_Doc*$C125*(1-$G125)))),MAX(0,($L125)-(Model!$G$8*(1+OTCapPct)*(Cap_Nurse*$C125*(1-$H125)))),MAX(0,($L125)-(Model!$G$17*(1+OTCapPct)*(Cap_Tech*$C125*(1-$I125)))),MAX(0,$L125-((BedsCurrent+BedsAdded)*ShiftHours*$F125/BedHr_N)),MAX(0,$L125*Acuity_N-(ImgBase+ImgExpOn*ImgExpAdd)),MAX(0,$L125-(LabBase+LabExpOn*LabExpAdd)))</f>
        <v>9.2695326095843171</v>
      </c>
      <c r="P125" s="11">
        <f t="shared" ca="1" si="23"/>
        <v>37.561254409793392</v>
      </c>
      <c r="Q125" s="17">
        <f ca="1">((MIN(OTCapPct*Model!$G$24,MAX(0,(($J125*(1+0.5*Acuity_M))/(Cap_Doc*$C125*(1-$G125)))-Model!$G$24)))*OTCost_Doc)+((MIN(OTCapPct*Model!$G$6,MAX(0,(($J125)/(Cap_Nurse*$C125*(1-$H125)))-Model!$G$6)))*OTCost_Nurse)+((MIN(OTCapPct*Model!$G$15,MAX(0,(($J125)/(Cap_Tech*$C125*(1-$I125)))-Model!$G$15)))*OTCost_Tech)+((MIN(OTCapPct*Model!$G$25,MAX(0,(($K125*(1+0.5*Acuity_E))/(Cap_Doc*$C125*(1-$G125)))-Model!$G$25)))*OTCost_Doc)+((MIN(OTCapPct*Model!$G$7,MAX(0,(($K125)/(Cap_Nurse*$C125*(1-$H125)))-Model!$G$7)))*OTCost_Nurse)+((MIN(OTCapPct*Model!$G$16,MAX(0,(($K125)/(Cap_Tech*$C125*(1-$I125)))-Model!$G$16)))*OTCost_Tech)+((MIN(OTCapPct*Model!$G$26,MAX(0,(($L125*(1+0.5*Acuity_N))/(Cap_Doc*$C125*(1-$G125)))-Model!$G$26)))*OTCost_Doc)+((MIN(OTCapPct*Model!$G$8,MAX(0,(($L125)/(Cap_Nurse*$C125*(1-$H125)))-Model!$G$8)))*OTCost_Nurse)+((MIN(OTCapPct*Model!$G$17,MAX(0,(($L125)/(Cap_Tech*$C125*(1-$I125)))-Model!$G$17)))*OTCost_Tech)</f>
        <v>80253.849773314461</v>
      </c>
    </row>
    <row r="126" spans="1:17" x14ac:dyDescent="0.25">
      <c r="A126" s="11">
        <v>122</v>
      </c>
      <c r="B126" s="11" t="str">
        <f t="shared" ca="1" si="12"/>
        <v>Severe</v>
      </c>
      <c r="C126" s="11">
        <f t="shared" ca="1" si="13"/>
        <v>0.8</v>
      </c>
      <c r="D126" s="11">
        <f t="shared" ca="1" si="14"/>
        <v>0</v>
      </c>
      <c r="E126" s="11">
        <f t="shared" ca="1" si="15"/>
        <v>3</v>
      </c>
      <c r="F126" s="36">
        <f t="shared" ca="1" si="16"/>
        <v>1.0456673626168058</v>
      </c>
      <c r="G126" s="11">
        <f t="shared" ca="1" si="17"/>
        <v>3.6926397909670408E-2</v>
      </c>
      <c r="H126" s="11">
        <f t="shared" ca="1" si="18"/>
        <v>7.8589624841666608E-2</v>
      </c>
      <c r="I126" s="11">
        <f t="shared" ca="1" si="19"/>
        <v>0.100185472507988</v>
      </c>
      <c r="J126" s="11">
        <f t="shared" ca="1" si="20"/>
        <v>64</v>
      </c>
      <c r="K126" s="11">
        <f t="shared" ca="1" si="21"/>
        <v>97</v>
      </c>
      <c r="L126" s="11">
        <f t="shared" ca="1" si="22"/>
        <v>67</v>
      </c>
      <c r="M126" s="11">
        <f ca="1">MAX(MAX(0,($J126*(1+0.5*Acuity_M))-(Model!$G$24*(1+OTCapPct)*(Cap_Doc*$C126*(1-$G126)))),MAX(0,($J126)-(Model!$G$6*(1+OTCapPct)*(Cap_Nurse*$C126*(1-$H126)))),MAX(0,($J126)-(Model!$G$15*(1+OTCapPct)*(Cap_Tech*$C126*(1-$I126)))),MAX(0,$J126-((BedsCurrent+BedsAdded)*ShiftHours*$F126/BedHr_M)),MAX(0,$J126*Acuity_M-(ImgBase+ImgExpOn*ImgExpAdd)),MAX(0,$J126-(LabBase+LabExpOn*LabExpAdd)))</f>
        <v>0</v>
      </c>
      <c r="N126" s="11">
        <f ca="1">MAX(MAX(0,($K126*(1+0.5*Acuity_E))-(Model!$G$25*(1+OTCapPct)*(Cap_Doc*$C126*(1-$G126)))),MAX(0,($K126)-(Model!$G$7*(1+OTCapPct)*(Cap_Nurse*$C126*(1-$H126)))),MAX(0,($K126)-(Model!$G$16*(1+OTCapPct)*(Cap_Tech*$C126*(1-$I126)))),MAX(0,$K126-((BedsCurrent+BedsAdded)*ShiftHours*$F126/BedHr_E)),MAX(0,$K126*Acuity_E-(ImgBase+ImgExpOn*ImgExpAdd)),MAX(0,$K126-(LabBase+LabExpOn*LabExpAdd)))</f>
        <v>2</v>
      </c>
      <c r="O126" s="11">
        <f ca="1">MAX(MAX(0,($L126*(1+0.5*Acuity_N))-(Model!$G$26*(1+OTCapPct)*(Cap_Doc*$C126*(1-$G126)))),MAX(0,($L126)-(Model!$G$8*(1+OTCapPct)*(Cap_Nurse*$C126*(1-$H126)))),MAX(0,($L126)-(Model!$G$17*(1+OTCapPct)*(Cap_Tech*$C126*(1-$I126)))),MAX(0,$L126-((BedsCurrent+BedsAdded)*ShiftHours*$F126/BedHr_N)),MAX(0,$L126*Acuity_N-(ImgBase+ImgExpOn*ImgExpAdd)),MAX(0,$L126-(LabBase+LabExpOn*LabExpAdd)))</f>
        <v>7.7087006494962651</v>
      </c>
      <c r="P126" s="11">
        <f t="shared" ca="1" si="23"/>
        <v>9.7087006494962651</v>
      </c>
      <c r="Q126" s="17">
        <f ca="1">((MIN(OTCapPct*Model!$G$24,MAX(0,(($J126*(1+0.5*Acuity_M))/(Cap_Doc*$C126*(1-$G126)))-Model!$G$24)))*OTCost_Doc)+((MIN(OTCapPct*Model!$G$6,MAX(0,(($J126)/(Cap_Nurse*$C126*(1-$H126)))-Model!$G$6)))*OTCost_Nurse)+((MIN(OTCapPct*Model!$G$15,MAX(0,(($J126)/(Cap_Tech*$C126*(1-$I126)))-Model!$G$15)))*OTCost_Tech)+((MIN(OTCapPct*Model!$G$25,MAX(0,(($K126*(1+0.5*Acuity_E))/(Cap_Doc*$C126*(1-$G126)))-Model!$G$25)))*OTCost_Doc)+((MIN(OTCapPct*Model!$G$7,MAX(0,(($K126)/(Cap_Nurse*$C126*(1-$H126)))-Model!$G$7)))*OTCost_Nurse)+((MIN(OTCapPct*Model!$G$16,MAX(0,(($K126)/(Cap_Tech*$C126*(1-$I126)))-Model!$G$16)))*OTCost_Tech)+((MIN(OTCapPct*Model!$G$26,MAX(0,(($L126*(1+0.5*Acuity_N))/(Cap_Doc*$C126*(1-$G126)))-Model!$G$26)))*OTCost_Doc)+((MIN(OTCapPct*Model!$G$8,MAX(0,(($L126)/(Cap_Nurse*$C126*(1-$H126)))-Model!$G$8)))*OTCost_Nurse)+((MIN(OTCapPct*Model!$G$17,MAX(0,(($L126)/(Cap_Tech*$C126*(1-$I126)))-Model!$G$17)))*OTCost_Tech)</f>
        <v>48826.237945809487</v>
      </c>
    </row>
    <row r="127" spans="1:17" x14ac:dyDescent="0.25">
      <c r="A127" s="11">
        <v>123</v>
      </c>
      <c r="B127" s="11" t="str">
        <f t="shared" ca="1" si="12"/>
        <v>Normal</v>
      </c>
      <c r="C127" s="11">
        <f t="shared" ca="1" si="13"/>
        <v>1</v>
      </c>
      <c r="D127" s="11">
        <f t="shared" ca="1" si="14"/>
        <v>0</v>
      </c>
      <c r="E127" s="11">
        <f t="shared" ca="1" si="15"/>
        <v>1</v>
      </c>
      <c r="F127" s="36">
        <f t="shared" ca="1" si="16"/>
        <v>0.87274076929195621</v>
      </c>
      <c r="G127" s="11">
        <f t="shared" ca="1" si="17"/>
        <v>0.1165282605070648</v>
      </c>
      <c r="H127" s="11">
        <f t="shared" ca="1" si="18"/>
        <v>4.4554980364520144E-2</v>
      </c>
      <c r="I127" s="11">
        <f t="shared" ca="1" si="19"/>
        <v>8.8914445279282772E-2</v>
      </c>
      <c r="J127" s="11">
        <f t="shared" ca="1" si="20"/>
        <v>91</v>
      </c>
      <c r="K127" s="11">
        <f t="shared" ca="1" si="21"/>
        <v>140</v>
      </c>
      <c r="L127" s="11">
        <f t="shared" ca="1" si="22"/>
        <v>68</v>
      </c>
      <c r="M127" s="11">
        <f ca="1">MAX(MAX(0,($J127*(1+0.5*Acuity_M))-(Model!$G$24*(1+OTCapPct)*(Cap_Doc*$C127*(1-$G127)))),MAX(0,($J127)-(Model!$G$6*(1+OTCapPct)*(Cap_Nurse*$C127*(1-$H127)))),MAX(0,($J127)-(Model!$G$15*(1+OTCapPct)*(Cap_Tech*$C127*(1-$I127)))),MAX(0,$J127-((BedsCurrent+BedsAdded)*ShiftHours*$F127/BedHr_M)),MAX(0,$J127*Acuity_M-(ImgBase+ImgExpOn*ImgExpAdd)),MAX(0,$J127-(LabBase+LabExpOn*LabExpAdd)))</f>
        <v>1.6194293070447827</v>
      </c>
      <c r="N127" s="11">
        <f ca="1">MAX(MAX(0,($K127*(1+0.5*Acuity_E))-(Model!$G$25*(1+OTCapPct)*(Cap_Doc*$C127*(1-$G127)))),MAX(0,($K127)-(Model!$G$7*(1+OTCapPct)*(Cap_Nurse*$C127*(1-$H127)))),MAX(0,($K127)-(Model!$G$16*(1+OTCapPct)*(Cap_Tech*$C127*(1-$I127)))),MAX(0,$K127-((BedsCurrent+BedsAdded)*ShiftHours*$F127/BedHr_E)),MAX(0,$K127*Acuity_E-(ImgBase+ImgExpOn*ImgExpAdd)),MAX(0,$K127-(LabBase+LabExpOn*LabExpAdd)))</f>
        <v>45.045804301035162</v>
      </c>
      <c r="O127" s="11">
        <f ca="1">MAX(MAX(0,($L127*(1+0.5*Acuity_N))-(Model!$G$26*(1+OTCapPct)*(Cap_Doc*$C127*(1-$G127)))),MAX(0,($L127)-(Model!$G$8*(1+OTCapPct)*(Cap_Nurse*$C127*(1-$H127)))),MAX(0,($L127)-(Model!$G$17*(1+OTCapPct)*(Cap_Tech*$C127*(1-$I127)))),MAX(0,$L127-((BedsCurrent+BedsAdded)*ShiftHours*$F127/BedHr_N)),MAX(0,$L127*Acuity_N-(ImgBase+ImgExpOn*ImgExpAdd)),MAX(0,$L127-(LabBase+LabExpOn*LabExpAdd)))</f>
        <v>0</v>
      </c>
      <c r="P127" s="11">
        <f t="shared" ca="1" si="23"/>
        <v>46.665233608079944</v>
      </c>
      <c r="Q127" s="17">
        <f ca="1">((MIN(OTCapPct*Model!$G$24,MAX(0,(($J127*(1+0.5*Acuity_M))/(Cap_Doc*$C127*(1-$G127)))-Model!$G$24)))*OTCost_Doc)+((MIN(OTCapPct*Model!$G$6,MAX(0,(($J127)/(Cap_Nurse*$C127*(1-$H127)))-Model!$G$6)))*OTCost_Nurse)+((MIN(OTCapPct*Model!$G$15,MAX(0,(($J127)/(Cap_Tech*$C127*(1-$I127)))-Model!$G$15)))*OTCost_Tech)+((MIN(OTCapPct*Model!$G$25,MAX(0,(($K127*(1+0.5*Acuity_E))/(Cap_Doc*$C127*(1-$G127)))-Model!$G$25)))*OTCost_Doc)+((MIN(OTCapPct*Model!$G$7,MAX(0,(($K127)/(Cap_Nurse*$C127*(1-$H127)))-Model!$G$7)))*OTCost_Nurse)+((MIN(OTCapPct*Model!$G$16,MAX(0,(($K127)/(Cap_Tech*$C127*(1-$I127)))-Model!$G$16)))*OTCost_Tech)+((MIN(OTCapPct*Model!$G$26,MAX(0,(($L127*(1+0.5*Acuity_N))/(Cap_Doc*$C127*(1-$G127)))-Model!$G$26)))*OTCost_Doc)+((MIN(OTCapPct*Model!$G$8,MAX(0,(($L127)/(Cap_Nurse*$C127*(1-$H127)))-Model!$G$8)))*OTCost_Nurse)+((MIN(OTCapPct*Model!$G$17,MAX(0,(($L127)/(Cap_Tech*$C127*(1-$I127)))-Model!$G$17)))*OTCost_Tech)</f>
        <v>79992.549581191546</v>
      </c>
    </row>
    <row r="128" spans="1:17" x14ac:dyDescent="0.25">
      <c r="A128" s="11">
        <v>124</v>
      </c>
      <c r="B128" s="11" t="str">
        <f t="shared" ca="1" si="12"/>
        <v>Normal</v>
      </c>
      <c r="C128" s="11">
        <f t="shared" ca="1" si="13"/>
        <v>1</v>
      </c>
      <c r="D128" s="11">
        <f t="shared" ca="1" si="14"/>
        <v>0</v>
      </c>
      <c r="E128" s="11">
        <f t="shared" ca="1" si="15"/>
        <v>1</v>
      </c>
      <c r="F128" s="36">
        <f t="shared" ca="1" si="16"/>
        <v>0.82765999250908573</v>
      </c>
      <c r="G128" s="11">
        <f t="shared" ca="1" si="17"/>
        <v>0</v>
      </c>
      <c r="H128" s="11">
        <f t="shared" ca="1" si="18"/>
        <v>7.2430496960745189E-4</v>
      </c>
      <c r="I128" s="11">
        <f t="shared" ca="1" si="19"/>
        <v>9.6312175434930092E-2</v>
      </c>
      <c r="J128" s="11">
        <f t="shared" ca="1" si="20"/>
        <v>83</v>
      </c>
      <c r="K128" s="11">
        <f t="shared" ca="1" si="21"/>
        <v>100</v>
      </c>
      <c r="L128" s="11">
        <f t="shared" ca="1" si="22"/>
        <v>61</v>
      </c>
      <c r="M128" s="11">
        <f ca="1">MAX(MAX(0,($J128*(1+0.5*Acuity_M))-(Model!$G$24*(1+OTCapPct)*(Cap_Doc*$C128*(1-$G128)))),MAX(0,($J128)-(Model!$G$6*(1+OTCapPct)*(Cap_Nurse*$C128*(1-$H128)))),MAX(0,($J128)-(Model!$G$15*(1+OTCapPct)*(Cap_Tech*$C128*(1-$I128)))),MAX(0,$J128-((BedsCurrent+BedsAdded)*ShiftHours*$F128/BedHr_M)),MAX(0,$J128*Acuity_M-(ImgBase+ImgExpOn*ImgExpAdd)),MAX(0,$J128-(LabBase+LabExpOn*LabExpAdd)))</f>
        <v>0</v>
      </c>
      <c r="N128" s="11">
        <f ca="1">MAX(MAX(0,($K128*(1+0.5*Acuity_E))-(Model!$G$25*(1+OTCapPct)*(Cap_Doc*$C128*(1-$G128)))),MAX(0,($K128)-(Model!$G$7*(1+OTCapPct)*(Cap_Nurse*$C128*(1-$H128)))),MAX(0,($K128)-(Model!$G$16*(1+OTCapPct)*(Cap_Tech*$C128*(1-$I128)))),MAX(0,$K128-((BedsCurrent+BedsAdded)*ShiftHours*$F128/BedHr_E)),MAX(0,$K128*Acuity_E-(ImgBase+ImgExpOn*ImgExpAdd)),MAX(0,$K128-(LabBase+LabExpOn*LabExpAdd)))</f>
        <v>9.9505928150114755</v>
      </c>
      <c r="O128" s="11">
        <f ca="1">MAX(MAX(0,($L128*(1+0.5*Acuity_N))-(Model!$G$26*(1+OTCapPct)*(Cap_Doc*$C128*(1-$G128)))),MAX(0,($L128)-(Model!$G$8*(1+OTCapPct)*(Cap_Nurse*$C128*(1-$H128)))),MAX(0,($L128)-(Model!$G$17*(1+OTCapPct)*(Cap_Tech*$C128*(1-$I128)))),MAX(0,$L128-((BedsCurrent+BedsAdded)*ShiftHours*$F128/BedHr_N)),MAX(0,$L128*Acuity_N-(ImgBase+ImgExpOn*ImgExpAdd)),MAX(0,$L128-(LabBase+LabExpOn*LabExpAdd)))</f>
        <v>0</v>
      </c>
      <c r="P128" s="11">
        <f t="shared" ca="1" si="23"/>
        <v>9.9505928150114755</v>
      </c>
      <c r="Q128" s="17">
        <f ca="1">((MIN(OTCapPct*Model!$G$24,MAX(0,(($J128*(1+0.5*Acuity_M))/(Cap_Doc*$C128*(1-$G128)))-Model!$G$24)))*OTCost_Doc)+((MIN(OTCapPct*Model!$G$6,MAX(0,(($J128)/(Cap_Nurse*$C128*(1-$H128)))-Model!$G$6)))*OTCost_Nurse)+((MIN(OTCapPct*Model!$G$15,MAX(0,(($J128)/(Cap_Tech*$C128*(1-$I128)))-Model!$G$15)))*OTCost_Tech)+((MIN(OTCapPct*Model!$G$25,MAX(0,(($K128*(1+0.5*Acuity_E))/(Cap_Doc*$C128*(1-$G128)))-Model!$G$25)))*OTCost_Doc)+((MIN(OTCapPct*Model!$G$7,MAX(0,(($K128)/(Cap_Nurse*$C128*(1-$H128)))-Model!$G$7)))*OTCost_Nurse)+((MIN(OTCapPct*Model!$G$16,MAX(0,(($K128)/(Cap_Tech*$C128*(1-$I128)))-Model!$G$16)))*OTCost_Tech)+((MIN(OTCapPct*Model!$G$26,MAX(0,(($L128*(1+0.5*Acuity_N))/(Cap_Doc*$C128*(1-$G128)))-Model!$G$26)))*OTCost_Doc)+((MIN(OTCapPct*Model!$G$8,MAX(0,(($L128)/(Cap_Nurse*$C128*(1-$H128)))-Model!$G$8)))*OTCost_Nurse)+((MIN(OTCapPct*Model!$G$17,MAX(0,(($L128)/(Cap_Tech*$C128*(1-$I128)))-Model!$G$17)))*OTCost_Tech)</f>
        <v>1905.1460225533062</v>
      </c>
    </row>
    <row r="129" spans="1:17" x14ac:dyDescent="0.25">
      <c r="A129" s="11">
        <v>125</v>
      </c>
      <c r="B129" s="11" t="str">
        <f t="shared" ca="1" si="12"/>
        <v>Normal</v>
      </c>
      <c r="C129" s="11">
        <f t="shared" ca="1" si="13"/>
        <v>1</v>
      </c>
      <c r="D129" s="11">
        <f t="shared" ca="1" si="14"/>
        <v>0</v>
      </c>
      <c r="E129" s="11">
        <f t="shared" ca="1" si="15"/>
        <v>1</v>
      </c>
      <c r="F129" s="36">
        <f t="shared" ca="1" si="16"/>
        <v>0.82969898932375397</v>
      </c>
      <c r="G129" s="11">
        <f t="shared" ca="1" si="17"/>
        <v>8.7035475673164914E-2</v>
      </c>
      <c r="H129" s="11">
        <f t="shared" ca="1" si="18"/>
        <v>8.7468863323013263E-2</v>
      </c>
      <c r="I129" s="11">
        <f t="shared" ca="1" si="19"/>
        <v>0.15119915122278277</v>
      </c>
      <c r="J129" s="11">
        <f t="shared" ca="1" si="20"/>
        <v>80</v>
      </c>
      <c r="K129" s="11">
        <f t="shared" ca="1" si="21"/>
        <v>149</v>
      </c>
      <c r="L129" s="11">
        <f t="shared" ca="1" si="22"/>
        <v>60</v>
      </c>
      <c r="M129" s="11">
        <f ca="1">MAX(MAX(0,($J129*(1+0.5*Acuity_M))-(Model!$G$24*(1+OTCapPct)*(Cap_Doc*$C129*(1-$G129)))),MAX(0,($J129)-(Model!$G$6*(1+OTCapPct)*(Cap_Nurse*$C129*(1-$H129)))),MAX(0,($J129)-(Model!$G$15*(1+OTCapPct)*(Cap_Tech*$C129*(1-$I129)))),MAX(0,$J129-((BedsCurrent+BedsAdded)*ShiftHours*$F129/BedHr_M)),MAX(0,$J129*Acuity_M-(ImgBase+ImgExpOn*ImgExpAdd)),MAX(0,$J129-(LabBase+LabExpOn*LabExpAdd)))</f>
        <v>0</v>
      </c>
      <c r="N129" s="11">
        <f ca="1">MAX(MAX(0,($K129*(1+0.5*Acuity_E))-(Model!$G$25*(1+OTCapPct)*(Cap_Doc*$C129*(1-$G129)))),MAX(0,($K129)-(Model!$G$7*(1+OTCapPct)*(Cap_Nurse*$C129*(1-$H129)))),MAX(0,($K129)-(Model!$G$16*(1+OTCapPct)*(Cap_Tech*$C129*(1-$I129)))),MAX(0,$K129-((BedsCurrent+BedsAdded)*ShiftHours*$F129/BedHr_E)),MAX(0,$K129*Acuity_E-(ImgBase+ImgExpOn*ImgExpAdd)),MAX(0,$K129-(LabBase+LabExpOn*LabExpAdd)))</f>
        <v>58.728749961575573</v>
      </c>
      <c r="O129" s="11">
        <f ca="1">MAX(MAX(0,($L129*(1+0.5*Acuity_N))-(Model!$G$26*(1+OTCapPct)*(Cap_Doc*$C129*(1-$G129)))),MAX(0,($L129)-(Model!$G$8*(1+OTCapPct)*(Cap_Nurse*$C129*(1-$H129)))),MAX(0,($L129)-(Model!$G$17*(1+OTCapPct)*(Cap_Tech*$C129*(1-$I129)))),MAX(0,$L129-((BedsCurrent+BedsAdded)*ShiftHours*$F129/BedHr_N)),MAX(0,$L129*Acuity_N-(ImgBase+ImgExpOn*ImgExpAdd)),MAX(0,$L129-(LabBase+LabExpOn*LabExpAdd)))</f>
        <v>0</v>
      </c>
      <c r="P129" s="11">
        <f t="shared" ca="1" si="23"/>
        <v>58.728749961575573</v>
      </c>
      <c r="Q129" s="17">
        <f ca="1">((MIN(OTCapPct*Model!$G$24,MAX(0,(($J129*(1+0.5*Acuity_M))/(Cap_Doc*$C129*(1-$G129)))-Model!$G$24)))*OTCost_Doc)+((MIN(OTCapPct*Model!$G$6,MAX(0,(($J129)/(Cap_Nurse*$C129*(1-$H129)))-Model!$G$6)))*OTCost_Nurse)+((MIN(OTCapPct*Model!$G$15,MAX(0,(($J129)/(Cap_Tech*$C129*(1-$I129)))-Model!$G$15)))*OTCost_Tech)+((MIN(OTCapPct*Model!$G$25,MAX(0,(($K129*(1+0.5*Acuity_E))/(Cap_Doc*$C129*(1-$G129)))-Model!$G$25)))*OTCost_Doc)+((MIN(OTCapPct*Model!$G$7,MAX(0,(($K129)/(Cap_Nurse*$C129*(1-$H129)))-Model!$G$7)))*OTCost_Nurse)+((MIN(OTCapPct*Model!$G$16,MAX(0,(($K129)/(Cap_Tech*$C129*(1-$I129)))-Model!$G$16)))*OTCost_Tech)+((MIN(OTCapPct*Model!$G$26,MAX(0,(($L129*(1+0.5*Acuity_N))/(Cap_Doc*$C129*(1-$G129)))-Model!$G$26)))*OTCost_Doc)+((MIN(OTCapPct*Model!$G$8,MAX(0,(($L129)/(Cap_Nurse*$C129*(1-$H129)))-Model!$G$8)))*OTCost_Nurse)+((MIN(OTCapPct*Model!$G$17,MAX(0,(($L129)/(Cap_Tech*$C129*(1-$I129)))-Model!$G$17)))*OTCost_Tech)</f>
        <v>55703.037885837133</v>
      </c>
    </row>
    <row r="130" spans="1:17" x14ac:dyDescent="0.25">
      <c r="A130" s="11">
        <v>126</v>
      </c>
      <c r="B130" s="11" t="str">
        <f t="shared" ca="1" si="12"/>
        <v>Normal</v>
      </c>
      <c r="C130" s="11">
        <f t="shared" ca="1" si="13"/>
        <v>1</v>
      </c>
      <c r="D130" s="11">
        <f t="shared" ca="1" si="14"/>
        <v>0</v>
      </c>
      <c r="E130" s="11">
        <f t="shared" ca="1" si="15"/>
        <v>1</v>
      </c>
      <c r="F130" s="36">
        <f t="shared" ca="1" si="16"/>
        <v>0.85794440306032105</v>
      </c>
      <c r="G130" s="11">
        <f t="shared" ca="1" si="17"/>
        <v>1.080895792949884E-2</v>
      </c>
      <c r="H130" s="11">
        <f t="shared" ca="1" si="18"/>
        <v>5.2739732357001724E-2</v>
      </c>
      <c r="I130" s="11">
        <f t="shared" ca="1" si="19"/>
        <v>0.11827817679594096</v>
      </c>
      <c r="J130" s="11">
        <f t="shared" ca="1" si="20"/>
        <v>80</v>
      </c>
      <c r="K130" s="11">
        <f t="shared" ca="1" si="21"/>
        <v>138</v>
      </c>
      <c r="L130" s="11">
        <f t="shared" ca="1" si="22"/>
        <v>66</v>
      </c>
      <c r="M130" s="11">
        <f ca="1">MAX(MAX(0,($J130*(1+0.5*Acuity_M))-(Model!$G$24*(1+OTCapPct)*(Cap_Doc*$C130*(1-$G130)))),MAX(0,($J130)-(Model!$G$6*(1+OTCapPct)*(Cap_Nurse*$C130*(1-$H130)))),MAX(0,($J130)-(Model!$G$15*(1+OTCapPct)*(Cap_Tech*$C130*(1-$I130)))),MAX(0,$J130-((BedsCurrent+BedsAdded)*ShiftHours*$F130/BedHr_M)),MAX(0,$J130*Acuity_M-(ImgBase+ImgExpOn*ImgExpAdd)),MAX(0,$J130-(LabBase+LabExpOn*LabExpAdd)))</f>
        <v>0</v>
      </c>
      <c r="N130" s="11">
        <f ca="1">MAX(MAX(0,($K130*(1+0.5*Acuity_E))-(Model!$G$25*(1+OTCapPct)*(Cap_Doc*$C130*(1-$G130)))),MAX(0,($K130)-(Model!$G$7*(1+OTCapPct)*(Cap_Nurse*$C130*(1-$H130)))),MAX(0,($K130)-(Model!$G$16*(1+OTCapPct)*(Cap_Tech*$C130*(1-$I130)))),MAX(0,$K130-((BedsCurrent+BedsAdded)*ShiftHours*$F130/BedHr_E)),MAX(0,$K130*Acuity_E-(ImgBase+ImgExpOn*ImgExpAdd)),MAX(0,$K130-(LabBase+LabExpOn*LabExpAdd)))</f>
        <v>44.655648947037065</v>
      </c>
      <c r="O130" s="11">
        <f ca="1">MAX(MAX(0,($L130*(1+0.5*Acuity_N))-(Model!$G$26*(1+OTCapPct)*(Cap_Doc*$C130*(1-$G130)))),MAX(0,($L130)-(Model!$G$8*(1+OTCapPct)*(Cap_Nurse*$C130*(1-$H130)))),MAX(0,($L130)-(Model!$G$17*(1+OTCapPct)*(Cap_Tech*$C130*(1-$I130)))),MAX(0,$L130-((BedsCurrent+BedsAdded)*ShiftHours*$F130/BedHr_N)),MAX(0,$L130*Acuity_N-(ImgBase+ImgExpOn*ImgExpAdd)),MAX(0,$L130-(LabBase+LabExpOn*LabExpAdd)))</f>
        <v>0</v>
      </c>
      <c r="P130" s="11">
        <f t="shared" ca="1" si="23"/>
        <v>44.655648947037065</v>
      </c>
      <c r="Q130" s="17">
        <f ca="1">((MIN(OTCapPct*Model!$G$24,MAX(0,(($J130*(1+0.5*Acuity_M))/(Cap_Doc*$C130*(1-$G130)))-Model!$G$24)))*OTCost_Doc)+((MIN(OTCapPct*Model!$G$6,MAX(0,(($J130)/(Cap_Nurse*$C130*(1-$H130)))-Model!$G$6)))*OTCost_Nurse)+((MIN(OTCapPct*Model!$G$15,MAX(0,(($J130)/(Cap_Tech*$C130*(1-$I130)))-Model!$G$15)))*OTCost_Tech)+((MIN(OTCapPct*Model!$G$25,MAX(0,(($K130*(1+0.5*Acuity_E))/(Cap_Doc*$C130*(1-$G130)))-Model!$G$25)))*OTCost_Doc)+((MIN(OTCapPct*Model!$G$7,MAX(0,(($K130)/(Cap_Nurse*$C130*(1-$H130)))-Model!$G$7)))*OTCost_Nurse)+((MIN(OTCapPct*Model!$G$16,MAX(0,(($K130)/(Cap_Tech*$C130*(1-$I130)))-Model!$G$16)))*OTCost_Tech)+((MIN(OTCapPct*Model!$G$26,MAX(0,(($L130*(1+0.5*Acuity_N))/(Cap_Doc*$C130*(1-$G130)))-Model!$G$26)))*OTCost_Doc)+((MIN(OTCapPct*Model!$G$8,MAX(0,(($L130)/(Cap_Nurse*$C130*(1-$H130)))-Model!$G$8)))*OTCost_Nurse)+((MIN(OTCapPct*Model!$G$17,MAX(0,(($L130)/(Cap_Tech*$C130*(1-$I130)))-Model!$G$17)))*OTCost_Tech)</f>
        <v>46451.70036975605</v>
      </c>
    </row>
    <row r="131" spans="1:17" x14ac:dyDescent="0.25">
      <c r="A131" s="11">
        <v>127</v>
      </c>
      <c r="B131" s="11" t="str">
        <f t="shared" ca="1" si="12"/>
        <v>Normal</v>
      </c>
      <c r="C131" s="11">
        <f t="shared" ca="1" si="13"/>
        <v>1</v>
      </c>
      <c r="D131" s="11">
        <f t="shared" ca="1" si="14"/>
        <v>0</v>
      </c>
      <c r="E131" s="11">
        <f t="shared" ca="1" si="15"/>
        <v>3</v>
      </c>
      <c r="F131" s="36">
        <f t="shared" ca="1" si="16"/>
        <v>1.0075447239089397</v>
      </c>
      <c r="G131" s="11">
        <f t="shared" ca="1" si="17"/>
        <v>0.14826389869983714</v>
      </c>
      <c r="H131" s="11">
        <f t="shared" ca="1" si="18"/>
        <v>3.3049638189045286E-2</v>
      </c>
      <c r="I131" s="11">
        <f t="shared" ca="1" si="19"/>
        <v>3.3178934157092194E-2</v>
      </c>
      <c r="J131" s="11">
        <f t="shared" ca="1" si="20"/>
        <v>95</v>
      </c>
      <c r="K131" s="11">
        <f t="shared" ca="1" si="21"/>
        <v>92</v>
      </c>
      <c r="L131" s="11">
        <f t="shared" ca="1" si="22"/>
        <v>60</v>
      </c>
      <c r="M131" s="11">
        <f ca="1">MAX(MAX(0,($J131*(1+0.5*Acuity_M))-(Model!$G$24*(1+OTCapPct)*(Cap_Doc*$C131*(1-$G131)))),MAX(0,($J131)-(Model!$G$6*(1+OTCapPct)*(Cap_Nurse*$C131*(1-$H131)))),MAX(0,($J131)-(Model!$G$15*(1+OTCapPct)*(Cap_Tech*$C131*(1-$I131)))),MAX(0,$J131-((BedsCurrent+BedsAdded)*ShiftHours*$F131/BedHr_M)),MAX(0,$J131*Acuity_M-(ImgBase+ImgExpOn*ImgExpAdd)),MAX(0,$J131-(LabBase+LabExpOn*LabExpAdd)))</f>
        <v>9.6296886037316796</v>
      </c>
      <c r="N131" s="11">
        <f ca="1">MAX(MAX(0,($K131*(1+0.5*Acuity_E))-(Model!$G$25*(1+OTCapPct)*(Cap_Doc*$C131*(1-$G131)))),MAX(0,($K131)-(Model!$G$7*(1+OTCapPct)*(Cap_Nurse*$C131*(1-$H131)))),MAX(0,($K131)-(Model!$G$16*(1+OTCapPct)*(Cap_Tech*$C131*(1-$I131)))),MAX(0,$K131-((BedsCurrent+BedsAdded)*ShiftHours*$F131/BedHr_E)),MAX(0,$K131*Acuity_E-(ImgBase+ImgExpOn*ImgExpAdd)),MAX(0,$K131-(LabBase+LabExpOn*LabExpAdd)))</f>
        <v>0</v>
      </c>
      <c r="O131" s="11">
        <f ca="1">MAX(MAX(0,($L131*(1+0.5*Acuity_N))-(Model!$G$26*(1+OTCapPct)*(Cap_Doc*$C131*(1-$G131)))),MAX(0,($L131)-(Model!$G$8*(1+OTCapPct)*(Cap_Nurse*$C131*(1-$H131)))),MAX(0,($L131)-(Model!$G$17*(1+OTCapPct)*(Cap_Tech*$C131*(1-$I131)))),MAX(0,$L131-((BedsCurrent+BedsAdded)*ShiftHours*$F131/BedHr_N)),MAX(0,$L131*Acuity_N-(ImgBase+ImgExpOn*ImgExpAdd)),MAX(0,$L131-(LabBase+LabExpOn*LabExpAdd)))</f>
        <v>0</v>
      </c>
      <c r="P131" s="11">
        <f t="shared" ca="1" si="23"/>
        <v>9.6296886037316796</v>
      </c>
      <c r="Q131" s="17">
        <f ca="1">((MIN(OTCapPct*Model!$G$24,MAX(0,(($J131*(1+0.5*Acuity_M))/(Cap_Doc*$C131*(1-$G131)))-Model!$G$24)))*OTCost_Doc)+((MIN(OTCapPct*Model!$G$6,MAX(0,(($J131)/(Cap_Nurse*$C131*(1-$H131)))-Model!$G$6)))*OTCost_Nurse)+((MIN(OTCapPct*Model!$G$15,MAX(0,(($J131)/(Cap_Tech*$C131*(1-$I131)))-Model!$G$15)))*OTCost_Tech)+((MIN(OTCapPct*Model!$G$25,MAX(0,(($K131*(1+0.5*Acuity_E))/(Cap_Doc*$C131*(1-$G131)))-Model!$G$25)))*OTCost_Doc)+((MIN(OTCapPct*Model!$G$7,MAX(0,(($K131)/(Cap_Nurse*$C131*(1-$H131)))-Model!$G$7)))*OTCost_Nurse)+((MIN(OTCapPct*Model!$G$16,MAX(0,(($K131)/(Cap_Tech*$C131*(1-$I131)))-Model!$G$16)))*OTCost_Tech)+((MIN(OTCapPct*Model!$G$26,MAX(0,(($L131*(1+0.5*Acuity_N))/(Cap_Doc*$C131*(1-$G131)))-Model!$G$26)))*OTCost_Doc)+((MIN(OTCapPct*Model!$G$8,MAX(0,(($L131)/(Cap_Nurse*$C131*(1-$H131)))-Model!$G$8)))*OTCost_Nurse)+((MIN(OTCapPct*Model!$G$17,MAX(0,(($L131)/(Cap_Tech*$C131*(1-$I131)))-Model!$G$17)))*OTCost_Tech)</f>
        <v>32727.091077717934</v>
      </c>
    </row>
    <row r="132" spans="1:17" x14ac:dyDescent="0.25">
      <c r="A132" s="11">
        <v>128</v>
      </c>
      <c r="B132" s="11" t="str">
        <f t="shared" ca="1" si="12"/>
        <v>Normal</v>
      </c>
      <c r="C132" s="11">
        <f t="shared" ca="1" si="13"/>
        <v>1</v>
      </c>
      <c r="D132" s="11">
        <f t="shared" ca="1" si="14"/>
        <v>0</v>
      </c>
      <c r="E132" s="11">
        <f t="shared" ca="1" si="15"/>
        <v>3</v>
      </c>
      <c r="F132" s="36">
        <f t="shared" ca="1" si="16"/>
        <v>0.82494694409893365</v>
      </c>
      <c r="G132" s="11">
        <f t="shared" ca="1" si="17"/>
        <v>8.0225097021749847E-2</v>
      </c>
      <c r="H132" s="11">
        <f t="shared" ca="1" si="18"/>
        <v>3.9598280194531314E-2</v>
      </c>
      <c r="I132" s="11">
        <f t="shared" ca="1" si="19"/>
        <v>0</v>
      </c>
      <c r="J132" s="11">
        <f t="shared" ca="1" si="20"/>
        <v>85</v>
      </c>
      <c r="K132" s="11">
        <f t="shared" ca="1" si="21"/>
        <v>103</v>
      </c>
      <c r="L132" s="11">
        <f t="shared" ca="1" si="22"/>
        <v>64</v>
      </c>
      <c r="M132" s="11">
        <f ca="1">MAX(MAX(0,($J132*(1+0.5*Acuity_M))-(Model!$G$24*(1+OTCapPct)*(Cap_Doc*$C132*(1-$G132)))),MAX(0,($J132)-(Model!$G$6*(1+OTCapPct)*(Cap_Nurse*$C132*(1-$H132)))),MAX(0,($J132)-(Model!$G$15*(1+OTCapPct)*(Cap_Tech*$C132*(1-$I132)))),MAX(0,$J132-((BedsCurrent+BedsAdded)*ShiftHours*$F132/BedHr_M)),MAX(0,$J132*Acuity_M-(ImgBase+ImgExpOn*ImgExpAdd)),MAX(0,$J132-(LabBase+LabExpOn*LabExpAdd)))</f>
        <v>0</v>
      </c>
      <c r="N132" s="11">
        <f ca="1">MAX(MAX(0,($K132*(1+0.5*Acuity_E))-(Model!$G$25*(1+OTCapPct)*(Cap_Doc*$C132*(1-$G132)))),MAX(0,($K132)-(Model!$G$7*(1+OTCapPct)*(Cap_Nurse*$C132*(1-$H132)))),MAX(0,($K132)-(Model!$G$16*(1+OTCapPct)*(Cap_Tech*$C132*(1-$I132)))),MAX(0,$K132-((BedsCurrent+BedsAdded)*ShiftHours*$F132/BedHr_E)),MAX(0,$K132*Acuity_E-(ImgBase+ImgExpOn*ImgExpAdd)),MAX(0,$K132-(LabBase+LabExpOn*LabExpAdd)))</f>
        <v>13.245772482036017</v>
      </c>
      <c r="O132" s="11">
        <f ca="1">MAX(MAX(0,($L132*(1+0.5*Acuity_N))-(Model!$G$26*(1+OTCapPct)*(Cap_Doc*$C132*(1-$G132)))),MAX(0,($L132)-(Model!$G$8*(1+OTCapPct)*(Cap_Nurse*$C132*(1-$H132)))),MAX(0,($L132)-(Model!$G$17*(1+OTCapPct)*(Cap_Tech*$C132*(1-$I132)))),MAX(0,$L132-((BedsCurrent+BedsAdded)*ShiftHours*$F132/BedHr_N)),MAX(0,$L132*Acuity_N-(ImgBase+ImgExpOn*ImgExpAdd)),MAX(0,$L132-(LabBase+LabExpOn*LabExpAdd)))</f>
        <v>0</v>
      </c>
      <c r="P132" s="11">
        <f t="shared" ca="1" si="23"/>
        <v>13.245772482036017</v>
      </c>
      <c r="Q132" s="17">
        <f ca="1">((MIN(OTCapPct*Model!$G$24,MAX(0,(($J132*(1+0.5*Acuity_M))/(Cap_Doc*$C132*(1-$G132)))-Model!$G$24)))*OTCost_Doc)+((MIN(OTCapPct*Model!$G$6,MAX(0,(($J132)/(Cap_Nurse*$C132*(1-$H132)))-Model!$G$6)))*OTCost_Nurse)+((MIN(OTCapPct*Model!$G$15,MAX(0,(($J132)/(Cap_Tech*$C132*(1-$I132)))-Model!$G$15)))*OTCost_Tech)+((MIN(OTCapPct*Model!$G$25,MAX(0,(($K132*(1+0.5*Acuity_E))/(Cap_Doc*$C132*(1-$G132)))-Model!$G$25)))*OTCost_Doc)+((MIN(OTCapPct*Model!$G$7,MAX(0,(($K132)/(Cap_Nurse*$C132*(1-$H132)))-Model!$G$7)))*OTCost_Nurse)+((MIN(OTCapPct*Model!$G$16,MAX(0,(($K132)/(Cap_Tech*$C132*(1-$I132)))-Model!$G$16)))*OTCost_Tech)+((MIN(OTCapPct*Model!$G$26,MAX(0,(($L132*(1+0.5*Acuity_N))/(Cap_Doc*$C132*(1-$G132)))-Model!$G$26)))*OTCost_Doc)+((MIN(OTCapPct*Model!$G$8,MAX(0,(($L132)/(Cap_Nurse*$C132*(1-$H132)))-Model!$G$8)))*OTCost_Nurse)+((MIN(OTCapPct*Model!$G$17,MAX(0,(($L132)/(Cap_Tech*$C132*(1-$I132)))-Model!$G$17)))*OTCost_Tech)</f>
        <v>19135.529284914795</v>
      </c>
    </row>
    <row r="133" spans="1:17" x14ac:dyDescent="0.25">
      <c r="A133" s="11">
        <v>129</v>
      </c>
      <c r="B133" s="11" t="str">
        <f t="shared" ref="B133:B196" ca="1" si="24">IF(RAND()&lt;P_Normal,"Normal",IF(RAND()&lt;P_Complex/(P_Complex+P_Severe),"Complex","Severe"))</f>
        <v>Normal</v>
      </c>
      <c r="C133" s="11">
        <f t="shared" ref="C133:C196" ca="1" si="25">IF(B133="Normal",1,IF(B133="Complex",0.9,0.8))</f>
        <v>1</v>
      </c>
      <c r="D133" s="11">
        <f t="shared" ref="D133:D196" ca="1" si="26">IF(RAND()&lt;P_Incident,1,0)</f>
        <v>0</v>
      </c>
      <c r="E133" s="11">
        <f t="shared" ref="E133:E196" ca="1" si="27">RANDBETWEEN(1,3)</f>
        <v>1</v>
      </c>
      <c r="F133" s="36">
        <f t="shared" ref="F133:F196" ca="1" si="28">1-BedHrVariability+RAND()*2*BedHrVariability</f>
        <v>0.94182933456360152</v>
      </c>
      <c r="G133" s="11">
        <f t="shared" ref="G133:G196" ca="1" si="29">MIN(0.5,MAX(0,NORMINV(RAND(),BaseAbsence_Doc,SQRT(BaseAbsence_Doc*(1-BaseAbsence_Doc)/Avail_Doc))))</f>
        <v>0</v>
      </c>
      <c r="H133" s="11">
        <f t="shared" ref="H133:H196" ca="1" si="30">MIN(0.5,MAX(0,NORMINV(RAND(),BaseAbsence_Nurse,SQRT(BaseAbsence_Nurse*(1-BaseAbsence_Nurse)/Avail_Nurse))))</f>
        <v>0</v>
      </c>
      <c r="I133" s="11">
        <f t="shared" ref="I133:I196" ca="1" si="31">MIN(0.5,MAX(0,NORMINV(RAND(),BaseAbsence_Tech,SQRT(BaseAbsence_Tech*(1-BaseAbsence_Tech)/Avail_Tech))))</f>
        <v>0</v>
      </c>
      <c r="J133" s="11">
        <f t="shared" ref="J133:J196" ca="1" si="32">MAX(0,ROUND(NORMINV(RAND(),Arr_M,SD_M)*IF(AND($D133=1,$E133=1),1+IncidentSeverity,1),0))</f>
        <v>69</v>
      </c>
      <c r="K133" s="11">
        <f t="shared" ref="K133:K196" ca="1" si="33">MAX(0,ROUND(NORMINV(RAND(),Arr_E,SD_E)*IF(AND($D133=1,$E133=2),1+IncidentSeverity,1),0))</f>
        <v>100</v>
      </c>
      <c r="L133" s="11">
        <f t="shared" ref="L133:L196" ca="1" si="34">MAX(0,ROUND(NORMINV(RAND(),Arr_N,SD_N)*IF(AND($D133=1,$E133=3),1+IncidentSeverity,1),0))</f>
        <v>54</v>
      </c>
      <c r="M133" s="11">
        <f ca="1">MAX(MAX(0,($J133*(1+0.5*Acuity_M))-(Model!$G$24*(1+OTCapPct)*(Cap_Doc*$C133*(1-$G133)))),MAX(0,($J133)-(Model!$G$6*(1+OTCapPct)*(Cap_Nurse*$C133*(1-$H133)))),MAX(0,($J133)-(Model!$G$15*(1+OTCapPct)*(Cap_Tech*$C133*(1-$I133)))),MAX(0,$J133-((BedsCurrent+BedsAdded)*ShiftHours*$F133/BedHr_M)),MAX(0,$J133*Acuity_M-(ImgBase+ImgExpOn*ImgExpAdd)),MAX(0,$J133-(LabBase+LabExpOn*LabExpAdd)))</f>
        <v>0</v>
      </c>
      <c r="N133" s="11">
        <f ca="1">MAX(MAX(0,($K133*(1+0.5*Acuity_E))-(Model!$G$25*(1+OTCapPct)*(Cap_Doc*$C133*(1-$G133)))),MAX(0,($K133)-(Model!$G$7*(1+OTCapPct)*(Cap_Nurse*$C133*(1-$H133)))),MAX(0,($K133)-(Model!$G$16*(1+OTCapPct)*(Cap_Tech*$C133*(1-$I133)))),MAX(0,$K133-((BedsCurrent+BedsAdded)*ShiftHours*$F133/BedHr_E)),MAX(0,$K133*Acuity_E-(ImgBase+ImgExpOn*ImgExpAdd)),MAX(0,$K133-(LabBase+LabExpOn*LabExpAdd)))</f>
        <v>5</v>
      </c>
      <c r="O133" s="11">
        <f ca="1">MAX(MAX(0,($L133*(1+0.5*Acuity_N))-(Model!$G$26*(1+OTCapPct)*(Cap_Doc*$C133*(1-$G133)))),MAX(0,($L133)-(Model!$G$8*(1+OTCapPct)*(Cap_Nurse*$C133*(1-$H133)))),MAX(0,($L133)-(Model!$G$17*(1+OTCapPct)*(Cap_Tech*$C133*(1-$I133)))),MAX(0,$L133-((BedsCurrent+BedsAdded)*ShiftHours*$F133/BedHr_N)),MAX(0,$L133*Acuity_N-(ImgBase+ImgExpOn*ImgExpAdd)),MAX(0,$L133-(LabBase+LabExpOn*LabExpAdd)))</f>
        <v>0</v>
      </c>
      <c r="P133" s="11">
        <f t="shared" ref="P133:P196" ca="1" si="35">M133+N133+O133</f>
        <v>5</v>
      </c>
      <c r="Q133" s="17">
        <f ca="1">((MIN(OTCapPct*Model!$G$24,MAX(0,(($J133*(1+0.5*Acuity_M))/(Cap_Doc*$C133*(1-$G133)))-Model!$G$24)))*OTCost_Doc)+((MIN(OTCapPct*Model!$G$6,MAX(0,(($J133)/(Cap_Nurse*$C133*(1-$H133)))-Model!$G$6)))*OTCost_Nurse)+((MIN(OTCapPct*Model!$G$15,MAX(0,(($J133)/(Cap_Tech*$C133*(1-$I133)))-Model!$G$15)))*OTCost_Tech)+((MIN(OTCapPct*Model!$G$25,MAX(0,(($K133*(1+0.5*Acuity_E))/(Cap_Doc*$C133*(1-$G133)))-Model!$G$25)))*OTCost_Doc)+((MIN(OTCapPct*Model!$G$7,MAX(0,(($K133)/(Cap_Nurse*$C133*(1-$H133)))-Model!$G$7)))*OTCost_Nurse)+((MIN(OTCapPct*Model!$G$16,MAX(0,(($K133)/(Cap_Tech*$C133*(1-$I133)))-Model!$G$16)))*OTCost_Tech)+((MIN(OTCapPct*Model!$G$26,MAX(0,(($L133*(1+0.5*Acuity_N))/(Cap_Doc*$C133*(1-$G133)))-Model!$G$26)))*OTCost_Doc)+((MIN(OTCapPct*Model!$G$8,MAX(0,(($L133)/(Cap_Nurse*$C133*(1-$H133)))-Model!$G$8)))*OTCost_Nurse)+((MIN(OTCapPct*Model!$G$17,MAX(0,(($L133)/(Cap_Tech*$C133*(1-$I133)))-Model!$G$17)))*OTCost_Tech)</f>
        <v>0</v>
      </c>
    </row>
    <row r="134" spans="1:17" x14ac:dyDescent="0.25">
      <c r="A134" s="11">
        <v>130</v>
      </c>
      <c r="B134" s="11" t="str">
        <f t="shared" ca="1" si="24"/>
        <v>Complex</v>
      </c>
      <c r="C134" s="11">
        <f t="shared" ca="1" si="25"/>
        <v>0.9</v>
      </c>
      <c r="D134" s="11">
        <f t="shared" ca="1" si="26"/>
        <v>0</v>
      </c>
      <c r="E134" s="11">
        <f t="shared" ca="1" si="27"/>
        <v>3</v>
      </c>
      <c r="F134" s="36">
        <f t="shared" ca="1" si="28"/>
        <v>1.1604627470137721</v>
      </c>
      <c r="G134" s="11">
        <f t="shared" ca="1" si="29"/>
        <v>3.5675284771531666E-2</v>
      </c>
      <c r="H134" s="11">
        <f t="shared" ca="1" si="30"/>
        <v>1.2014048712644228E-2</v>
      </c>
      <c r="I134" s="11">
        <f t="shared" ca="1" si="31"/>
        <v>9.9399018356064711E-2</v>
      </c>
      <c r="J134" s="11">
        <f t="shared" ca="1" si="32"/>
        <v>97</v>
      </c>
      <c r="K134" s="11">
        <f t="shared" ca="1" si="33"/>
        <v>117</v>
      </c>
      <c r="L134" s="11">
        <f t="shared" ca="1" si="34"/>
        <v>63</v>
      </c>
      <c r="M134" s="11">
        <f ca="1">MAX(MAX(0,($J134*(1+0.5*Acuity_M))-(Model!$G$24*(1+OTCapPct)*(Cap_Doc*$C134*(1-$G134)))),MAX(0,($J134)-(Model!$G$6*(1+OTCapPct)*(Cap_Nurse*$C134*(1-$H134)))),MAX(0,($J134)-(Model!$G$15*(1+OTCapPct)*(Cap_Tech*$C134*(1-$I134)))),MAX(0,$J134-((BedsCurrent+BedsAdded)*ShiftHours*$F134/BedHr_M)),MAX(0,$J134*Acuity_M-(ImgBase+ImgExpOn*ImgExpAdd)),MAX(0,$J134-(LabBase+LabExpOn*LabExpAdd)))</f>
        <v>10.032122583117598</v>
      </c>
      <c r="N134" s="11">
        <f ca="1">MAX(MAX(0,($K134*(1+0.5*Acuity_E))-(Model!$G$25*(1+OTCapPct)*(Cap_Doc*$C134*(1-$G134)))),MAX(0,($K134)-(Model!$G$7*(1+OTCapPct)*(Cap_Nurse*$C134*(1-$H134)))),MAX(0,($K134)-(Model!$G$16*(1+OTCapPct)*(Cap_Tech*$C134*(1-$I134)))),MAX(0,$K134-((BedsCurrent+BedsAdded)*ShiftHours*$F134/BedHr_E)),MAX(0,$K134*Acuity_E-(ImgBase+ImgExpOn*ImgExpAdd)),MAX(0,$K134-(LabBase+LabExpOn*LabExpAdd)))</f>
        <v>22</v>
      </c>
      <c r="O134" s="11">
        <f ca="1">MAX(MAX(0,($L134*(1+0.5*Acuity_N))-(Model!$G$26*(1+OTCapPct)*(Cap_Doc*$C134*(1-$G134)))),MAX(0,($L134)-(Model!$G$8*(1+OTCapPct)*(Cap_Nurse*$C134*(1-$H134)))),MAX(0,($L134)-(Model!$G$17*(1+OTCapPct)*(Cap_Tech*$C134*(1-$I134)))),MAX(0,$L134-((BedsCurrent+BedsAdded)*ShiftHours*$F134/BedHr_N)),MAX(0,$L134*Acuity_N-(ImgBase+ImgExpOn*ImgExpAdd)),MAX(0,$L134-(LabBase+LabExpOn*LabExpAdd)))</f>
        <v>0</v>
      </c>
      <c r="P134" s="11">
        <f t="shared" ca="1" si="35"/>
        <v>32.032122583117598</v>
      </c>
      <c r="Q134" s="17">
        <f ca="1">((MIN(OTCapPct*Model!$G$24,MAX(0,(($J134*(1+0.5*Acuity_M))/(Cap_Doc*$C134*(1-$G134)))-Model!$G$24)))*OTCost_Doc)+((MIN(OTCapPct*Model!$G$6,MAX(0,(($J134)/(Cap_Nurse*$C134*(1-$H134)))-Model!$G$6)))*OTCost_Nurse)+((MIN(OTCapPct*Model!$G$15,MAX(0,(($J134)/(Cap_Tech*$C134*(1-$I134)))-Model!$G$15)))*OTCost_Tech)+((MIN(OTCapPct*Model!$G$25,MAX(0,(($K134*(1+0.5*Acuity_E))/(Cap_Doc*$C134*(1-$G134)))-Model!$G$25)))*OTCost_Doc)+((MIN(OTCapPct*Model!$G$7,MAX(0,(($K134)/(Cap_Nurse*$C134*(1-$H134)))-Model!$G$7)))*OTCost_Nurse)+((MIN(OTCapPct*Model!$G$16,MAX(0,(($K134)/(Cap_Tech*$C134*(1-$I134)))-Model!$G$16)))*OTCost_Tech)+((MIN(OTCapPct*Model!$G$26,MAX(0,(($L134*(1+0.5*Acuity_N))/(Cap_Doc*$C134*(1-$G134)))-Model!$G$26)))*OTCost_Doc)+((MIN(OTCapPct*Model!$G$8,MAX(0,(($L134)/(Cap_Nurse*$C134*(1-$H134)))-Model!$G$8)))*OTCost_Nurse)+((MIN(OTCapPct*Model!$G$17,MAX(0,(($L134)/(Cap_Tech*$C134*(1-$I134)))-Model!$G$17)))*OTCost_Tech)</f>
        <v>71701.536166909616</v>
      </c>
    </row>
    <row r="135" spans="1:17" x14ac:dyDescent="0.25">
      <c r="A135" s="11">
        <v>131</v>
      </c>
      <c r="B135" s="11" t="str">
        <f t="shared" ca="1" si="24"/>
        <v>Complex</v>
      </c>
      <c r="C135" s="11">
        <f t="shared" ca="1" si="25"/>
        <v>0.9</v>
      </c>
      <c r="D135" s="11">
        <f t="shared" ca="1" si="26"/>
        <v>0</v>
      </c>
      <c r="E135" s="11">
        <f t="shared" ca="1" si="27"/>
        <v>1</v>
      </c>
      <c r="F135" s="36">
        <f t="shared" ca="1" si="28"/>
        <v>1.1128717542807345</v>
      </c>
      <c r="G135" s="11">
        <f t="shared" ca="1" si="29"/>
        <v>0.1195007224513798</v>
      </c>
      <c r="H135" s="11">
        <f t="shared" ca="1" si="30"/>
        <v>2.0670161833634182E-2</v>
      </c>
      <c r="I135" s="11">
        <f t="shared" ca="1" si="31"/>
        <v>7.4304568702822565E-2</v>
      </c>
      <c r="J135" s="11">
        <f t="shared" ca="1" si="32"/>
        <v>80</v>
      </c>
      <c r="K135" s="11">
        <f t="shared" ca="1" si="33"/>
        <v>116</v>
      </c>
      <c r="L135" s="11">
        <f t="shared" ca="1" si="34"/>
        <v>60</v>
      </c>
      <c r="M135" s="11">
        <f ca="1">MAX(MAX(0,($J135*(1+0.5*Acuity_M))-(Model!$G$24*(1+OTCapPct)*(Cap_Doc*$C135*(1-$G135)))),MAX(0,($J135)-(Model!$G$6*(1+OTCapPct)*(Cap_Nurse*$C135*(1-$H135)))),MAX(0,($J135)-(Model!$G$15*(1+OTCapPct)*(Cap_Tech*$C135*(1-$I135)))),MAX(0,$J135-((BedsCurrent+BedsAdded)*ShiftHours*$F135/BedHr_M)),MAX(0,$J135*Acuity_M-(ImgBase+ImgExpOn*ImgExpAdd)),MAX(0,$J135-(LabBase+LabExpOn*LabExpAdd)))</f>
        <v>0</v>
      </c>
      <c r="N135" s="11">
        <f ca="1">MAX(MAX(0,($K135*(1+0.5*Acuity_E))-(Model!$G$25*(1+OTCapPct)*(Cap_Doc*$C135*(1-$G135)))),MAX(0,($K135)-(Model!$G$7*(1+OTCapPct)*(Cap_Nurse*$C135*(1-$H135)))),MAX(0,($K135)-(Model!$G$16*(1+OTCapPct)*(Cap_Tech*$C135*(1-$I135)))),MAX(0,$K135-((BedsCurrent+BedsAdded)*ShiftHours*$F135/BedHr_E)),MAX(0,$K135*Acuity_E-(ImgBase+ImgExpOn*ImgExpAdd)),MAX(0,$K135-(LabBase+LabExpOn*LabExpAdd)))</f>
        <v>21</v>
      </c>
      <c r="O135" s="11">
        <f ca="1">MAX(MAX(0,($L135*(1+0.5*Acuity_N))-(Model!$G$26*(1+OTCapPct)*(Cap_Doc*$C135*(1-$G135)))),MAX(0,($L135)-(Model!$G$8*(1+OTCapPct)*(Cap_Nurse*$C135*(1-$H135)))),MAX(0,($L135)-(Model!$G$17*(1+OTCapPct)*(Cap_Tech*$C135*(1-$I135)))),MAX(0,$L135-((BedsCurrent+BedsAdded)*ShiftHours*$F135/BedHr_N)),MAX(0,$L135*Acuity_N-(ImgBase+ImgExpOn*ImgExpAdd)),MAX(0,$L135-(LabBase+LabExpOn*LabExpAdd)))</f>
        <v>0</v>
      </c>
      <c r="P135" s="11">
        <f t="shared" ca="1" si="35"/>
        <v>21</v>
      </c>
      <c r="Q135" s="17">
        <f ca="1">((MIN(OTCapPct*Model!$G$24,MAX(0,(($J135*(1+0.5*Acuity_M))/(Cap_Doc*$C135*(1-$G135)))-Model!$G$24)))*OTCost_Doc)+((MIN(OTCapPct*Model!$G$6,MAX(0,(($J135)/(Cap_Nurse*$C135*(1-$H135)))-Model!$G$6)))*OTCost_Nurse)+((MIN(OTCapPct*Model!$G$15,MAX(0,(($J135)/(Cap_Tech*$C135*(1-$I135)))-Model!$G$15)))*OTCost_Tech)+((MIN(OTCapPct*Model!$G$25,MAX(0,(($K135*(1+0.5*Acuity_E))/(Cap_Doc*$C135*(1-$G135)))-Model!$G$25)))*OTCost_Doc)+((MIN(OTCapPct*Model!$G$7,MAX(0,(($K135)/(Cap_Nurse*$C135*(1-$H135)))-Model!$G$7)))*OTCost_Nurse)+((MIN(OTCapPct*Model!$G$16,MAX(0,(($K135)/(Cap_Tech*$C135*(1-$I135)))-Model!$G$16)))*OTCost_Tech)+((MIN(OTCapPct*Model!$G$26,MAX(0,(($L135*(1+0.5*Acuity_N))/(Cap_Doc*$C135*(1-$G135)))-Model!$G$26)))*OTCost_Doc)+((MIN(OTCapPct*Model!$G$8,MAX(0,(($L135)/(Cap_Nurse*$C135*(1-$H135)))-Model!$G$8)))*OTCost_Nurse)+((MIN(OTCapPct*Model!$G$17,MAX(0,(($L135)/(Cap_Tech*$C135*(1-$I135)))-Model!$G$17)))*OTCost_Tech)</f>
        <v>65634.585747836434</v>
      </c>
    </row>
    <row r="136" spans="1:17" x14ac:dyDescent="0.25">
      <c r="A136" s="11">
        <v>132</v>
      </c>
      <c r="B136" s="11" t="str">
        <f t="shared" ca="1" si="24"/>
        <v>Normal</v>
      </c>
      <c r="C136" s="11">
        <f t="shared" ca="1" si="25"/>
        <v>1</v>
      </c>
      <c r="D136" s="11">
        <f t="shared" ca="1" si="26"/>
        <v>0</v>
      </c>
      <c r="E136" s="11">
        <f t="shared" ca="1" si="27"/>
        <v>3</v>
      </c>
      <c r="F136" s="36">
        <f t="shared" ca="1" si="28"/>
        <v>0.9074322742042511</v>
      </c>
      <c r="G136" s="11">
        <f t="shared" ca="1" si="29"/>
        <v>0.12971192312829458</v>
      </c>
      <c r="H136" s="11">
        <f t="shared" ca="1" si="30"/>
        <v>0.11410324825684784</v>
      </c>
      <c r="I136" s="11">
        <f t="shared" ca="1" si="31"/>
        <v>5.5864019623355535E-2</v>
      </c>
      <c r="J136" s="11">
        <f t="shared" ca="1" si="32"/>
        <v>80</v>
      </c>
      <c r="K136" s="11">
        <f t="shared" ca="1" si="33"/>
        <v>133</v>
      </c>
      <c r="L136" s="11">
        <f t="shared" ca="1" si="34"/>
        <v>68</v>
      </c>
      <c r="M136" s="11">
        <f ca="1">MAX(MAX(0,($J136*(1+0.5*Acuity_M))-(Model!$G$24*(1+OTCapPct)*(Cap_Doc*$C136*(1-$G136)))),MAX(0,($J136)-(Model!$G$6*(1+OTCapPct)*(Cap_Nurse*$C136*(1-$H136)))),MAX(0,($J136)-(Model!$G$15*(1+OTCapPct)*(Cap_Tech*$C136*(1-$I136)))),MAX(0,$J136-((BedsCurrent+BedsAdded)*ShiftHours*$F136/BedHr_M)),MAX(0,$J136*Acuity_M-(ImgBase+ImgExpOn*ImgExpAdd)),MAX(0,$J136-(LabBase+LabExpOn*LabExpAdd)))</f>
        <v>0</v>
      </c>
      <c r="N136" s="11">
        <f ca="1">MAX(MAX(0,($K136*(1+0.5*Acuity_E))-(Model!$G$25*(1+OTCapPct)*(Cap_Doc*$C136*(1-$G136)))),MAX(0,($K136)-(Model!$G$7*(1+OTCapPct)*(Cap_Nurse*$C136*(1-$H136)))),MAX(0,($K136)-(Model!$G$16*(1+OTCapPct)*(Cap_Tech*$C136*(1-$I136)))),MAX(0,$K136-((BedsCurrent+BedsAdded)*ShiftHours*$F136/BedHr_E)),MAX(0,$K136*Acuity_E-(ImgBase+ImgExpOn*ImgExpAdd)),MAX(0,$K136-(LabBase+LabExpOn*LabExpAdd)))</f>
        <v>38</v>
      </c>
      <c r="O136" s="11">
        <f ca="1">MAX(MAX(0,($L136*(1+0.5*Acuity_N))-(Model!$G$26*(1+OTCapPct)*(Cap_Doc*$C136*(1-$G136)))),MAX(0,($L136)-(Model!$G$8*(1+OTCapPct)*(Cap_Nurse*$C136*(1-$H136)))),MAX(0,($L136)-(Model!$G$17*(1+OTCapPct)*(Cap_Tech*$C136*(1-$I136)))),MAX(0,$L136-((BedsCurrent+BedsAdded)*ShiftHours*$F136/BedHr_N)),MAX(0,$L136*Acuity_N-(ImgBase+ImgExpOn*ImgExpAdd)),MAX(0,$L136-(LabBase+LabExpOn*LabExpAdd)))</f>
        <v>0</v>
      </c>
      <c r="P136" s="11">
        <f t="shared" ca="1" si="35"/>
        <v>38</v>
      </c>
      <c r="Q136" s="17">
        <f ca="1">((MIN(OTCapPct*Model!$G$24,MAX(0,(($J136*(1+0.5*Acuity_M))/(Cap_Doc*$C136*(1-$G136)))-Model!$G$24)))*OTCost_Doc)+((MIN(OTCapPct*Model!$G$6,MAX(0,(($J136)/(Cap_Nurse*$C136*(1-$H136)))-Model!$G$6)))*OTCost_Nurse)+((MIN(OTCapPct*Model!$G$15,MAX(0,(($J136)/(Cap_Tech*$C136*(1-$I136)))-Model!$G$15)))*OTCost_Tech)+((MIN(OTCapPct*Model!$G$25,MAX(0,(($K136*(1+0.5*Acuity_E))/(Cap_Doc*$C136*(1-$G136)))-Model!$G$25)))*OTCost_Doc)+((MIN(OTCapPct*Model!$G$7,MAX(0,(($K136)/(Cap_Nurse*$C136*(1-$H136)))-Model!$G$7)))*OTCost_Nurse)+((MIN(OTCapPct*Model!$G$16,MAX(0,(($K136)/(Cap_Tech*$C136*(1-$I136)))-Model!$G$16)))*OTCost_Tech)+((MIN(OTCapPct*Model!$G$26,MAX(0,(($L136*(1+0.5*Acuity_N))/(Cap_Doc*$C136*(1-$G136)))-Model!$G$26)))*OTCost_Doc)+((MIN(OTCapPct*Model!$G$8,MAX(0,(($L136)/(Cap_Nurse*$C136*(1-$H136)))-Model!$G$8)))*OTCost_Nurse)+((MIN(OTCapPct*Model!$G$17,MAX(0,(($L136)/(Cap_Tech*$C136*(1-$I136)))-Model!$G$17)))*OTCost_Tech)</f>
        <v>71763.229600805134</v>
      </c>
    </row>
    <row r="137" spans="1:17" x14ac:dyDescent="0.25">
      <c r="A137" s="11">
        <v>133</v>
      </c>
      <c r="B137" s="11" t="str">
        <f t="shared" ca="1" si="24"/>
        <v>Complex</v>
      </c>
      <c r="C137" s="11">
        <f t="shared" ca="1" si="25"/>
        <v>0.9</v>
      </c>
      <c r="D137" s="11">
        <f t="shared" ca="1" si="26"/>
        <v>0</v>
      </c>
      <c r="E137" s="11">
        <f t="shared" ca="1" si="27"/>
        <v>3</v>
      </c>
      <c r="F137" s="36">
        <f t="shared" ca="1" si="28"/>
        <v>1.1918427168734786</v>
      </c>
      <c r="G137" s="11">
        <f t="shared" ca="1" si="29"/>
        <v>8.7644313750704604E-3</v>
      </c>
      <c r="H137" s="11">
        <f t="shared" ca="1" si="30"/>
        <v>0.1096762942783352</v>
      </c>
      <c r="I137" s="11">
        <f t="shared" ca="1" si="31"/>
        <v>0.16383447268612122</v>
      </c>
      <c r="J137" s="11">
        <f t="shared" ca="1" si="32"/>
        <v>86</v>
      </c>
      <c r="K137" s="11">
        <f t="shared" ca="1" si="33"/>
        <v>99</v>
      </c>
      <c r="L137" s="11">
        <f t="shared" ca="1" si="34"/>
        <v>78</v>
      </c>
      <c r="M137" s="11">
        <f ca="1">MAX(MAX(0,($J137*(1+0.5*Acuity_M))-(Model!$G$24*(1+OTCapPct)*(Cap_Doc*$C137*(1-$G137)))),MAX(0,($J137)-(Model!$G$6*(1+OTCapPct)*(Cap_Nurse*$C137*(1-$H137)))),MAX(0,($J137)-(Model!$G$15*(1+OTCapPct)*(Cap_Tech*$C137*(1-$I137)))),MAX(0,$J137-((BedsCurrent+BedsAdded)*ShiftHours*$F137/BedHr_M)),MAX(0,$J137*Acuity_M-(ImgBase+ImgExpOn*ImgExpAdd)),MAX(0,$J137-(LabBase+LabExpOn*LabExpAdd)))</f>
        <v>1.8644098093026571</v>
      </c>
      <c r="N137" s="11">
        <f ca="1">MAX(MAX(0,($K137*(1+0.5*Acuity_E))-(Model!$G$25*(1+OTCapPct)*(Cap_Doc*$C137*(1-$G137)))),MAX(0,($K137)-(Model!$G$7*(1+OTCapPct)*(Cap_Nurse*$C137*(1-$H137)))),MAX(0,($K137)-(Model!$G$16*(1+OTCapPct)*(Cap_Tech*$C137*(1-$I137)))),MAX(0,$K137-((BedsCurrent+BedsAdded)*ShiftHours*$F137/BedHr_E)),MAX(0,$K137*Acuity_E-(ImgBase+ImgExpOn*ImgExpAdd)),MAX(0,$K137-(LabBase+LabExpOn*LabExpAdd)))</f>
        <v>4</v>
      </c>
      <c r="O137" s="11">
        <f ca="1">MAX(MAX(0,($L137*(1+0.5*Acuity_N))-(Model!$G$26*(1+OTCapPct)*(Cap_Doc*$C137*(1-$G137)))),MAX(0,($L137)-(Model!$G$8*(1+OTCapPct)*(Cap_Nurse*$C137*(1-$H137)))),MAX(0,($L137)-(Model!$G$17*(1+OTCapPct)*(Cap_Tech*$C137*(1-$I137)))),MAX(0,$L137-((BedsCurrent+BedsAdded)*ShiftHours*$F137/BedHr_N)),MAX(0,$L137*Acuity_N-(ImgBase+ImgExpOn*ImgExpAdd)),MAX(0,$L137-(LabBase+LabExpOn*LabExpAdd)))</f>
        <v>9.4099189413807096</v>
      </c>
      <c r="P137" s="11">
        <f t="shared" ca="1" si="35"/>
        <v>15.274328750683367</v>
      </c>
      <c r="Q137" s="17">
        <f ca="1">((MIN(OTCapPct*Model!$G$24,MAX(0,(($J137*(1+0.5*Acuity_M))/(Cap_Doc*$C137*(1-$G137)))-Model!$G$24)))*OTCost_Doc)+((MIN(OTCapPct*Model!$G$6,MAX(0,(($J137)/(Cap_Nurse*$C137*(1-$H137)))-Model!$G$6)))*OTCost_Nurse)+((MIN(OTCapPct*Model!$G$15,MAX(0,(($J137)/(Cap_Tech*$C137*(1-$I137)))-Model!$G$15)))*OTCost_Tech)+((MIN(OTCapPct*Model!$G$25,MAX(0,(($K137*(1+0.5*Acuity_E))/(Cap_Doc*$C137*(1-$G137)))-Model!$G$25)))*OTCost_Doc)+((MIN(OTCapPct*Model!$G$7,MAX(0,(($K137)/(Cap_Nurse*$C137*(1-$H137)))-Model!$G$7)))*OTCost_Nurse)+((MIN(OTCapPct*Model!$G$16,MAX(0,(($K137)/(Cap_Tech*$C137*(1-$I137)))-Model!$G$16)))*OTCost_Tech)+((MIN(OTCapPct*Model!$G$26,MAX(0,(($L137*(1+0.5*Acuity_N))/(Cap_Doc*$C137*(1-$G137)))-Model!$G$26)))*OTCost_Doc)+((MIN(OTCapPct*Model!$G$8,MAX(0,(($L137)/(Cap_Nurse*$C137*(1-$H137)))-Model!$G$8)))*OTCost_Nurse)+((MIN(OTCapPct*Model!$G$17,MAX(0,(($L137)/(Cap_Tech*$C137*(1-$I137)))-Model!$G$17)))*OTCost_Tech)</f>
        <v>57633.289499591468</v>
      </c>
    </row>
    <row r="138" spans="1:17" x14ac:dyDescent="0.25">
      <c r="A138" s="11">
        <v>134</v>
      </c>
      <c r="B138" s="11" t="str">
        <f t="shared" ca="1" si="24"/>
        <v>Normal</v>
      </c>
      <c r="C138" s="11">
        <f t="shared" ca="1" si="25"/>
        <v>1</v>
      </c>
      <c r="D138" s="11">
        <f t="shared" ca="1" si="26"/>
        <v>0</v>
      </c>
      <c r="E138" s="11">
        <f t="shared" ca="1" si="27"/>
        <v>3</v>
      </c>
      <c r="F138" s="36">
        <f t="shared" ca="1" si="28"/>
        <v>0.99605991246685843</v>
      </c>
      <c r="G138" s="11">
        <f t="shared" ca="1" si="29"/>
        <v>5.2924902454929319E-2</v>
      </c>
      <c r="H138" s="11">
        <f t="shared" ca="1" si="30"/>
        <v>9.4152769977842027E-2</v>
      </c>
      <c r="I138" s="11">
        <f t="shared" ca="1" si="31"/>
        <v>0</v>
      </c>
      <c r="J138" s="11">
        <f t="shared" ca="1" si="32"/>
        <v>72</v>
      </c>
      <c r="K138" s="11">
        <f t="shared" ca="1" si="33"/>
        <v>86</v>
      </c>
      <c r="L138" s="11">
        <f t="shared" ca="1" si="34"/>
        <v>68</v>
      </c>
      <c r="M138" s="11">
        <f ca="1">MAX(MAX(0,($J138*(1+0.5*Acuity_M))-(Model!$G$24*(1+OTCapPct)*(Cap_Doc*$C138*(1-$G138)))),MAX(0,($J138)-(Model!$G$6*(1+OTCapPct)*(Cap_Nurse*$C138*(1-$H138)))),MAX(0,($J138)-(Model!$G$15*(1+OTCapPct)*(Cap_Tech*$C138*(1-$I138)))),MAX(0,$J138-((BedsCurrent+BedsAdded)*ShiftHours*$F138/BedHr_M)),MAX(0,$J138*Acuity_M-(ImgBase+ImgExpOn*ImgExpAdd)),MAX(0,$J138-(LabBase+LabExpOn*LabExpAdd)))</f>
        <v>0</v>
      </c>
      <c r="N138" s="11">
        <f ca="1">MAX(MAX(0,($K138*(1+0.5*Acuity_E))-(Model!$G$25*(1+OTCapPct)*(Cap_Doc*$C138*(1-$G138)))),MAX(0,($K138)-(Model!$G$7*(1+OTCapPct)*(Cap_Nurse*$C138*(1-$H138)))),MAX(0,($K138)-(Model!$G$16*(1+OTCapPct)*(Cap_Tech*$C138*(1-$I138)))),MAX(0,$K138-((BedsCurrent+BedsAdded)*ShiftHours*$F138/BedHr_E)),MAX(0,$K138*Acuity_E-(ImgBase+ImgExpOn*ImgExpAdd)),MAX(0,$K138-(LabBase+LabExpOn*LabExpAdd)))</f>
        <v>0</v>
      </c>
      <c r="O138" s="11">
        <f ca="1">MAX(MAX(0,($L138*(1+0.5*Acuity_N))-(Model!$G$26*(1+OTCapPct)*(Cap_Doc*$C138*(1-$G138)))),MAX(0,($L138)-(Model!$G$8*(1+OTCapPct)*(Cap_Nurse*$C138*(1-$H138)))),MAX(0,($L138)-(Model!$G$17*(1+OTCapPct)*(Cap_Tech*$C138*(1-$I138)))),MAX(0,$L138-((BedsCurrent+BedsAdded)*ShiftHours*$F138/BedHr_N)),MAX(0,$L138*Acuity_N-(ImgBase+ImgExpOn*ImgExpAdd)),MAX(0,$L138-(LabBase+LabExpOn*LabExpAdd)))</f>
        <v>0</v>
      </c>
      <c r="P138" s="11">
        <f t="shared" ca="1" si="35"/>
        <v>0</v>
      </c>
      <c r="Q138" s="17">
        <f ca="1">((MIN(OTCapPct*Model!$G$24,MAX(0,(($J138*(1+0.5*Acuity_M))/(Cap_Doc*$C138*(1-$G138)))-Model!$G$24)))*OTCost_Doc)+((MIN(OTCapPct*Model!$G$6,MAX(0,(($J138)/(Cap_Nurse*$C138*(1-$H138)))-Model!$G$6)))*OTCost_Nurse)+((MIN(OTCapPct*Model!$G$15,MAX(0,(($J138)/(Cap_Tech*$C138*(1-$I138)))-Model!$G$15)))*OTCost_Tech)+((MIN(OTCapPct*Model!$G$25,MAX(0,(($K138*(1+0.5*Acuity_E))/(Cap_Doc*$C138*(1-$G138)))-Model!$G$25)))*OTCost_Doc)+((MIN(OTCapPct*Model!$G$7,MAX(0,(($K138)/(Cap_Nurse*$C138*(1-$H138)))-Model!$G$7)))*OTCost_Nurse)+((MIN(OTCapPct*Model!$G$16,MAX(0,(($K138)/(Cap_Tech*$C138*(1-$I138)))-Model!$G$16)))*OTCost_Tech)+((MIN(OTCapPct*Model!$G$26,MAX(0,(($L138*(1+0.5*Acuity_N))/(Cap_Doc*$C138*(1-$G138)))-Model!$G$26)))*OTCost_Doc)+((MIN(OTCapPct*Model!$G$8,MAX(0,(($L138)/(Cap_Nurse*$C138*(1-$H138)))-Model!$G$8)))*OTCost_Nurse)+((MIN(OTCapPct*Model!$G$17,MAX(0,(($L138)/(Cap_Tech*$C138*(1-$I138)))-Model!$G$17)))*OTCost_Tech)</f>
        <v>9589.2569818930097</v>
      </c>
    </row>
    <row r="139" spans="1:17" x14ac:dyDescent="0.25">
      <c r="A139" s="11">
        <v>135</v>
      </c>
      <c r="B139" s="11" t="str">
        <f t="shared" ca="1" si="24"/>
        <v>Complex</v>
      </c>
      <c r="C139" s="11">
        <f t="shared" ca="1" si="25"/>
        <v>0.9</v>
      </c>
      <c r="D139" s="11">
        <f t="shared" ca="1" si="26"/>
        <v>0</v>
      </c>
      <c r="E139" s="11">
        <f t="shared" ca="1" si="27"/>
        <v>3</v>
      </c>
      <c r="F139" s="36">
        <f t="shared" ca="1" si="28"/>
        <v>0.97474963579464058</v>
      </c>
      <c r="G139" s="11">
        <f t="shared" ca="1" si="29"/>
        <v>5.6350015829721843E-2</v>
      </c>
      <c r="H139" s="11">
        <f t="shared" ca="1" si="30"/>
        <v>0.13810713006097619</v>
      </c>
      <c r="I139" s="11">
        <f t="shared" ca="1" si="31"/>
        <v>5.1710269610199006E-2</v>
      </c>
      <c r="J139" s="11">
        <f t="shared" ca="1" si="32"/>
        <v>101</v>
      </c>
      <c r="K139" s="11">
        <f t="shared" ca="1" si="33"/>
        <v>97</v>
      </c>
      <c r="L139" s="11">
        <f t="shared" ca="1" si="34"/>
        <v>66</v>
      </c>
      <c r="M139" s="11">
        <f ca="1">MAX(MAX(0,($J139*(1+0.5*Acuity_M))-(Model!$G$24*(1+OTCapPct)*(Cap_Doc*$C139*(1-$G139)))),MAX(0,($J139)-(Model!$G$6*(1+OTCapPct)*(Cap_Nurse*$C139*(1-$H139)))),MAX(0,($J139)-(Model!$G$15*(1+OTCapPct)*(Cap_Tech*$C139*(1-$I139)))),MAX(0,$J139-((BedsCurrent+BedsAdded)*ShiftHours*$F139/BedHr_M)),MAX(0,$J139*Acuity_M-(ImgBase+ImgExpOn*ImgExpAdd)),MAX(0,$J139-(LabBase+LabExpOn*LabExpAdd)))</f>
        <v>19.551123790762233</v>
      </c>
      <c r="N139" s="11">
        <f ca="1">MAX(MAX(0,($K139*(1+0.5*Acuity_E))-(Model!$G$25*(1+OTCapPct)*(Cap_Doc*$C139*(1-$G139)))),MAX(0,($K139)-(Model!$G$7*(1+OTCapPct)*(Cap_Nurse*$C139*(1-$H139)))),MAX(0,($K139)-(Model!$G$16*(1+OTCapPct)*(Cap_Tech*$C139*(1-$I139)))),MAX(0,$K139-((BedsCurrent+BedsAdded)*ShiftHours*$F139/BedHr_E)),MAX(0,$K139*Acuity_E-(ImgBase+ImgExpOn*ImgExpAdd)),MAX(0,$K139-(LabBase+LabExpOn*LabExpAdd)))</f>
        <v>2</v>
      </c>
      <c r="O139" s="11">
        <f ca="1">MAX(MAX(0,($L139*(1+0.5*Acuity_N))-(Model!$G$26*(1+OTCapPct)*(Cap_Doc*$C139*(1-$G139)))),MAX(0,($L139)-(Model!$G$8*(1+OTCapPct)*(Cap_Nurse*$C139*(1-$H139)))),MAX(0,($L139)-(Model!$G$17*(1+OTCapPct)*(Cap_Tech*$C139*(1-$I139)))),MAX(0,$L139-((BedsCurrent+BedsAdded)*ShiftHours*$F139/BedHr_N)),MAX(0,$L139*Acuity_N-(ImgBase+ImgExpOn*ImgExpAdd)),MAX(0,$L139-(LabBase+LabExpOn*LabExpAdd)))</f>
        <v>0</v>
      </c>
      <c r="P139" s="11">
        <f t="shared" ca="1" si="35"/>
        <v>21.551123790762233</v>
      </c>
      <c r="Q139" s="17">
        <f ca="1">((MIN(OTCapPct*Model!$G$24,MAX(0,(($J139*(1+0.5*Acuity_M))/(Cap_Doc*$C139*(1-$G139)))-Model!$G$24)))*OTCost_Doc)+((MIN(OTCapPct*Model!$G$6,MAX(0,(($J139)/(Cap_Nurse*$C139*(1-$H139)))-Model!$G$6)))*OTCost_Nurse)+((MIN(OTCapPct*Model!$G$15,MAX(0,(($J139)/(Cap_Tech*$C139*(1-$I139)))-Model!$G$15)))*OTCost_Tech)+((MIN(OTCapPct*Model!$G$25,MAX(0,(($K139*(1+0.5*Acuity_E))/(Cap_Doc*$C139*(1-$G139)))-Model!$G$25)))*OTCost_Doc)+((MIN(OTCapPct*Model!$G$7,MAX(0,(($K139)/(Cap_Nurse*$C139*(1-$H139)))-Model!$G$7)))*OTCost_Nurse)+((MIN(OTCapPct*Model!$G$16,MAX(0,(($K139)/(Cap_Tech*$C139*(1-$I139)))-Model!$G$16)))*OTCost_Tech)+((MIN(OTCapPct*Model!$G$26,MAX(0,(($L139*(1+0.5*Acuity_N))/(Cap_Doc*$C139*(1-$G139)))-Model!$G$26)))*OTCost_Doc)+((MIN(OTCapPct*Model!$G$8,MAX(0,(($L139)/(Cap_Nurse*$C139*(1-$H139)))-Model!$G$8)))*OTCost_Nurse)+((MIN(OTCapPct*Model!$G$17,MAX(0,(($L139)/(Cap_Tech*$C139*(1-$I139)))-Model!$G$17)))*OTCost_Tech)</f>
        <v>58001.102467225457</v>
      </c>
    </row>
    <row r="140" spans="1:17" x14ac:dyDescent="0.25">
      <c r="A140" s="11">
        <v>136</v>
      </c>
      <c r="B140" s="11" t="str">
        <f t="shared" ca="1" si="24"/>
        <v>Normal</v>
      </c>
      <c r="C140" s="11">
        <f t="shared" ca="1" si="25"/>
        <v>1</v>
      </c>
      <c r="D140" s="11">
        <f t="shared" ca="1" si="26"/>
        <v>0</v>
      </c>
      <c r="E140" s="11">
        <f t="shared" ca="1" si="27"/>
        <v>1</v>
      </c>
      <c r="F140" s="36">
        <f t="shared" ca="1" si="28"/>
        <v>0.94689784499182805</v>
      </c>
      <c r="G140" s="11">
        <f t="shared" ca="1" si="29"/>
        <v>9.2139633937470072E-2</v>
      </c>
      <c r="H140" s="11">
        <f t="shared" ca="1" si="30"/>
        <v>4.8753987593899491E-2</v>
      </c>
      <c r="I140" s="11">
        <f t="shared" ca="1" si="31"/>
        <v>0.13360657138012932</v>
      </c>
      <c r="J140" s="11">
        <f t="shared" ca="1" si="32"/>
        <v>102</v>
      </c>
      <c r="K140" s="11">
        <f t="shared" ca="1" si="33"/>
        <v>151</v>
      </c>
      <c r="L140" s="11">
        <f t="shared" ca="1" si="34"/>
        <v>53</v>
      </c>
      <c r="M140" s="11">
        <f ca="1">MAX(MAX(0,($J140*(1+0.5*Acuity_M))-(Model!$G$24*(1+OTCapPct)*(Cap_Doc*$C140*(1-$G140)))),MAX(0,($J140)-(Model!$G$6*(1+OTCapPct)*(Cap_Nurse*$C140*(1-$H140)))),MAX(0,($J140)-(Model!$G$15*(1+OTCapPct)*(Cap_Tech*$C140*(1-$I140)))),MAX(0,$J140-((BedsCurrent+BedsAdded)*ShiftHours*$F140/BedHr_M)),MAX(0,$J140*Acuity_M-(ImgBase+ImgExpOn*ImgExpAdd)),MAX(0,$J140-(LabBase+LabExpOn*LabExpAdd)))</f>
        <v>11.085708817965397</v>
      </c>
      <c r="N140" s="11">
        <f ca="1">MAX(MAX(0,($K140*(1+0.5*Acuity_E))-(Model!$G$25*(1+OTCapPct)*(Cap_Doc*$C140*(1-$G140)))),MAX(0,($K140)-(Model!$G$7*(1+OTCapPct)*(Cap_Nurse*$C140*(1-$H140)))),MAX(0,($K140)-(Model!$G$16*(1+OTCapPct)*(Cap_Tech*$C140*(1-$I140)))),MAX(0,$K140-((BedsCurrent+BedsAdded)*ShiftHours*$F140/BedHr_E)),MAX(0,$K140*Acuity_E-(ImgBase+ImgExpOn*ImgExpAdd)),MAX(0,$K140-(LabBase+LabExpOn*LabExpAdd)))</f>
        <v>56</v>
      </c>
      <c r="O140" s="11">
        <f ca="1">MAX(MAX(0,($L140*(1+0.5*Acuity_N))-(Model!$G$26*(1+OTCapPct)*(Cap_Doc*$C140*(1-$G140)))),MAX(0,($L140)-(Model!$G$8*(1+OTCapPct)*(Cap_Nurse*$C140*(1-$H140)))),MAX(0,($L140)-(Model!$G$17*(1+OTCapPct)*(Cap_Tech*$C140*(1-$I140)))),MAX(0,$L140-((BedsCurrent+BedsAdded)*ShiftHours*$F140/BedHr_N)),MAX(0,$L140*Acuity_N-(ImgBase+ImgExpOn*ImgExpAdd)),MAX(0,$L140-(LabBase+LabExpOn*LabExpAdd)))</f>
        <v>0</v>
      </c>
      <c r="P140" s="11">
        <f t="shared" ca="1" si="35"/>
        <v>67.085708817965397</v>
      </c>
      <c r="Q140" s="17">
        <f ca="1">((MIN(OTCapPct*Model!$G$24,MAX(0,(($J140*(1+0.5*Acuity_M))/(Cap_Doc*$C140*(1-$G140)))-Model!$G$24)))*OTCost_Doc)+((MIN(OTCapPct*Model!$G$6,MAX(0,(($J140)/(Cap_Nurse*$C140*(1-$H140)))-Model!$G$6)))*OTCost_Nurse)+((MIN(OTCapPct*Model!$G$15,MAX(0,(($J140)/(Cap_Tech*$C140*(1-$I140)))-Model!$G$15)))*OTCost_Tech)+((MIN(OTCapPct*Model!$G$25,MAX(0,(($K140*(1+0.5*Acuity_E))/(Cap_Doc*$C140*(1-$G140)))-Model!$G$25)))*OTCost_Doc)+((MIN(OTCapPct*Model!$G$7,MAX(0,(($K140)/(Cap_Nurse*$C140*(1-$H140)))-Model!$G$7)))*OTCost_Nurse)+((MIN(OTCapPct*Model!$G$16,MAX(0,(($K140)/(Cap_Tech*$C140*(1-$I140)))-Model!$G$16)))*OTCost_Tech)+((MIN(OTCapPct*Model!$G$26,MAX(0,(($L140*(1+0.5*Acuity_N))/(Cap_Doc*$C140*(1-$G140)))-Model!$G$26)))*OTCost_Doc)+((MIN(OTCapPct*Model!$G$8,MAX(0,(($L140)/(Cap_Nurse*$C140*(1-$H140)))-Model!$G$8)))*OTCost_Nurse)+((MIN(OTCapPct*Model!$G$17,MAX(0,(($L140)/(Cap_Tech*$C140*(1-$I140)))-Model!$G$17)))*OTCost_Tech)</f>
        <v>76875</v>
      </c>
    </row>
    <row r="141" spans="1:17" x14ac:dyDescent="0.25">
      <c r="A141" s="11">
        <v>137</v>
      </c>
      <c r="B141" s="11" t="str">
        <f t="shared" ca="1" si="24"/>
        <v>Complex</v>
      </c>
      <c r="C141" s="11">
        <f t="shared" ca="1" si="25"/>
        <v>0.9</v>
      </c>
      <c r="D141" s="11">
        <f t="shared" ca="1" si="26"/>
        <v>0</v>
      </c>
      <c r="E141" s="11">
        <f t="shared" ca="1" si="27"/>
        <v>1</v>
      </c>
      <c r="F141" s="36">
        <f t="shared" ca="1" si="28"/>
        <v>1.1372461515824024</v>
      </c>
      <c r="G141" s="11">
        <f t="shared" ca="1" si="29"/>
        <v>0</v>
      </c>
      <c r="H141" s="11">
        <f t="shared" ca="1" si="30"/>
        <v>0</v>
      </c>
      <c r="I141" s="11">
        <f t="shared" ca="1" si="31"/>
        <v>7.3465274189843152E-2</v>
      </c>
      <c r="J141" s="11">
        <f t="shared" ca="1" si="32"/>
        <v>91</v>
      </c>
      <c r="K141" s="11">
        <f t="shared" ca="1" si="33"/>
        <v>135</v>
      </c>
      <c r="L141" s="11">
        <f t="shared" ca="1" si="34"/>
        <v>65</v>
      </c>
      <c r="M141" s="11">
        <f ca="1">MAX(MAX(0,($J141*(1+0.5*Acuity_M))-(Model!$G$24*(1+OTCapPct)*(Cap_Doc*$C141*(1-$G141)))),MAX(0,($J141)-(Model!$G$6*(1+OTCapPct)*(Cap_Nurse*$C141*(1-$H141)))),MAX(0,($J141)-(Model!$G$15*(1+OTCapPct)*(Cap_Tech*$C141*(1-$I141)))),MAX(0,$J141-((BedsCurrent+BedsAdded)*ShiftHours*$F141/BedHr_M)),MAX(0,$J141*Acuity_M-(ImgBase+ImgExpOn*ImgExpAdd)),MAX(0,$J141-(LabBase+LabExpOn*LabExpAdd)))</f>
        <v>0</v>
      </c>
      <c r="N141" s="11">
        <f ca="1">MAX(MAX(0,($K141*(1+0.5*Acuity_E))-(Model!$G$25*(1+OTCapPct)*(Cap_Doc*$C141*(1-$G141)))),MAX(0,($K141)-(Model!$G$7*(1+OTCapPct)*(Cap_Nurse*$C141*(1-$H141)))),MAX(0,($K141)-(Model!$G$16*(1+OTCapPct)*(Cap_Tech*$C141*(1-$I141)))),MAX(0,$K141-((BedsCurrent+BedsAdded)*ShiftHours*$F141/BedHr_E)),MAX(0,$K141*Acuity_E-(ImgBase+ImgExpOn*ImgExpAdd)),MAX(0,$K141-(LabBase+LabExpOn*LabExpAdd)))</f>
        <v>40</v>
      </c>
      <c r="O141" s="11">
        <f ca="1">MAX(MAX(0,($L141*(1+0.5*Acuity_N))-(Model!$G$26*(1+OTCapPct)*(Cap_Doc*$C141*(1-$G141)))),MAX(0,($L141)-(Model!$G$8*(1+OTCapPct)*(Cap_Nurse*$C141*(1-$H141)))),MAX(0,($L141)-(Model!$G$17*(1+OTCapPct)*(Cap_Tech*$C141*(1-$I141)))),MAX(0,$L141-((BedsCurrent+BedsAdded)*ShiftHours*$F141/BedHr_N)),MAX(0,$L141*Acuity_N-(ImgBase+ImgExpOn*ImgExpAdd)),MAX(0,$L141-(LabBase+LabExpOn*LabExpAdd)))</f>
        <v>0</v>
      </c>
      <c r="P141" s="11">
        <f t="shared" ca="1" si="35"/>
        <v>40</v>
      </c>
      <c r="Q141" s="17">
        <f ca="1">((MIN(OTCapPct*Model!$G$24,MAX(0,(($J141*(1+0.5*Acuity_M))/(Cap_Doc*$C141*(1-$G141)))-Model!$G$24)))*OTCost_Doc)+((MIN(OTCapPct*Model!$G$6,MAX(0,(($J141)/(Cap_Nurse*$C141*(1-$H141)))-Model!$G$6)))*OTCost_Nurse)+((MIN(OTCapPct*Model!$G$15,MAX(0,(($J141)/(Cap_Tech*$C141*(1-$I141)))-Model!$G$15)))*OTCost_Tech)+((MIN(OTCapPct*Model!$G$25,MAX(0,(($K141*(1+0.5*Acuity_E))/(Cap_Doc*$C141*(1-$G141)))-Model!$G$25)))*OTCost_Doc)+((MIN(OTCapPct*Model!$G$7,MAX(0,(($K141)/(Cap_Nurse*$C141*(1-$H141)))-Model!$G$7)))*OTCost_Nurse)+((MIN(OTCapPct*Model!$G$16,MAX(0,(($K141)/(Cap_Tech*$C141*(1-$I141)))-Model!$G$16)))*OTCost_Tech)+((MIN(OTCapPct*Model!$G$26,MAX(0,(($L141*(1+0.5*Acuity_N))/(Cap_Doc*$C141*(1-$G141)))-Model!$G$26)))*OTCost_Doc)+((MIN(OTCapPct*Model!$G$8,MAX(0,(($L141)/(Cap_Nurse*$C141*(1-$H141)))-Model!$G$8)))*OTCost_Nurse)+((MIN(OTCapPct*Model!$G$17,MAX(0,(($L141)/(Cap_Tech*$C141*(1-$I141)))-Model!$G$17)))*OTCost_Tech)</f>
        <v>82418.596847927722</v>
      </c>
    </row>
    <row r="142" spans="1:17" x14ac:dyDescent="0.25">
      <c r="A142" s="11">
        <v>138</v>
      </c>
      <c r="B142" s="11" t="str">
        <f t="shared" ca="1" si="24"/>
        <v>Complex</v>
      </c>
      <c r="C142" s="11">
        <f t="shared" ca="1" si="25"/>
        <v>0.9</v>
      </c>
      <c r="D142" s="11">
        <f t="shared" ca="1" si="26"/>
        <v>0</v>
      </c>
      <c r="E142" s="11">
        <f t="shared" ca="1" si="27"/>
        <v>1</v>
      </c>
      <c r="F142" s="36">
        <f t="shared" ca="1" si="28"/>
        <v>0.81585564412098277</v>
      </c>
      <c r="G142" s="11">
        <f t="shared" ca="1" si="29"/>
        <v>0.14933200818027159</v>
      </c>
      <c r="H142" s="11">
        <f t="shared" ca="1" si="30"/>
        <v>0.11542523273156338</v>
      </c>
      <c r="I142" s="11">
        <f t="shared" ca="1" si="31"/>
        <v>0.10053603461035057</v>
      </c>
      <c r="J142" s="11">
        <f t="shared" ca="1" si="32"/>
        <v>109</v>
      </c>
      <c r="K142" s="11">
        <f t="shared" ca="1" si="33"/>
        <v>109</v>
      </c>
      <c r="L142" s="11">
        <f t="shared" ca="1" si="34"/>
        <v>55</v>
      </c>
      <c r="M142" s="11">
        <f ca="1">MAX(MAX(0,($J142*(1+0.5*Acuity_M))-(Model!$G$24*(1+OTCapPct)*(Cap_Doc*$C142*(1-$G142)))),MAX(0,($J142)-(Model!$G$6*(1+OTCapPct)*(Cap_Nurse*$C142*(1-$H142)))),MAX(0,($J142)-(Model!$G$15*(1+OTCapPct)*(Cap_Tech*$C142*(1-$I142)))),MAX(0,$J142-((BedsCurrent+BedsAdded)*ShiftHours*$F142/BedHr_M)),MAX(0,$J142*Acuity_M-(ImgBase+ImgExpOn*ImgExpAdd)),MAX(0,$J142-(LabBase+LabExpOn*LabExpAdd)))</f>
        <v>34.859865828252509</v>
      </c>
      <c r="N142" s="11">
        <f ca="1">MAX(MAX(0,($K142*(1+0.5*Acuity_E))-(Model!$G$25*(1+OTCapPct)*(Cap_Doc*$C142*(1-$G142)))),MAX(0,($K142)-(Model!$G$7*(1+OTCapPct)*(Cap_Nurse*$C142*(1-$H142)))),MAX(0,($K142)-(Model!$G$16*(1+OTCapPct)*(Cap_Tech*$C142*(1-$I142)))),MAX(0,$K142-((BedsCurrent+BedsAdded)*ShiftHours*$F142/BedHr_E)),MAX(0,$K142*Acuity_E-(ImgBase+ImgExpOn*ImgExpAdd)),MAX(0,$K142-(LabBase+LabExpOn*LabExpAdd)))</f>
        <v>20.234905919637072</v>
      </c>
      <c r="O142" s="11">
        <f ca="1">MAX(MAX(0,($L142*(1+0.5*Acuity_N))-(Model!$G$26*(1+OTCapPct)*(Cap_Doc*$C142*(1-$G142)))),MAX(0,($L142)-(Model!$G$8*(1+OTCapPct)*(Cap_Nurse*$C142*(1-$H142)))),MAX(0,($L142)-(Model!$G$17*(1+OTCapPct)*(Cap_Tech*$C142*(1-$I142)))),MAX(0,$L142-((BedsCurrent+BedsAdded)*ShiftHours*$F142/BedHr_N)),MAX(0,$L142*Acuity_N-(ImgBase+ImgExpOn*ImgExpAdd)),MAX(0,$L142-(LabBase+LabExpOn*LabExpAdd)))</f>
        <v>0</v>
      </c>
      <c r="P142" s="11">
        <f t="shared" ca="1" si="35"/>
        <v>55.094771747889581</v>
      </c>
      <c r="Q142" s="17">
        <f ca="1">((MIN(OTCapPct*Model!$G$24,MAX(0,(($J142*(1+0.5*Acuity_M))/(Cap_Doc*$C142*(1-$G142)))-Model!$G$24)))*OTCost_Doc)+((MIN(OTCapPct*Model!$G$6,MAX(0,(($J142)/(Cap_Nurse*$C142*(1-$H142)))-Model!$G$6)))*OTCost_Nurse)+((MIN(OTCapPct*Model!$G$15,MAX(0,(($J142)/(Cap_Tech*$C142*(1-$I142)))-Model!$G$15)))*OTCost_Tech)+((MIN(OTCapPct*Model!$G$25,MAX(0,(($K142*(1+0.5*Acuity_E))/(Cap_Doc*$C142*(1-$G142)))-Model!$G$25)))*OTCost_Doc)+((MIN(OTCapPct*Model!$G$7,MAX(0,(($K142)/(Cap_Nurse*$C142*(1-$H142)))-Model!$G$7)))*OTCost_Nurse)+((MIN(OTCapPct*Model!$G$16,MAX(0,(($K142)/(Cap_Tech*$C142*(1-$I142)))-Model!$G$16)))*OTCost_Tech)+((MIN(OTCapPct*Model!$G$26,MAX(0,(($L142*(1+0.5*Acuity_N))/(Cap_Doc*$C142*(1-$G142)))-Model!$G$26)))*OTCost_Doc)+((MIN(OTCapPct*Model!$G$8,MAX(0,(($L142)/(Cap_Nurse*$C142*(1-$H142)))-Model!$G$8)))*OTCost_Nurse)+((MIN(OTCapPct*Model!$G$17,MAX(0,(($L142)/(Cap_Tech*$C142*(1-$I142)))-Model!$G$17)))*OTCost_Tech)</f>
        <v>75189.480152562843</v>
      </c>
    </row>
    <row r="143" spans="1:17" x14ac:dyDescent="0.25">
      <c r="A143" s="11">
        <v>139</v>
      </c>
      <c r="B143" s="11" t="str">
        <f t="shared" ca="1" si="24"/>
        <v>Complex</v>
      </c>
      <c r="C143" s="11">
        <f t="shared" ca="1" si="25"/>
        <v>0.9</v>
      </c>
      <c r="D143" s="11">
        <f t="shared" ca="1" si="26"/>
        <v>0</v>
      </c>
      <c r="E143" s="11">
        <f t="shared" ca="1" si="27"/>
        <v>3</v>
      </c>
      <c r="F143" s="36">
        <f t="shared" ca="1" si="28"/>
        <v>0.89824236710175664</v>
      </c>
      <c r="G143" s="11">
        <f t="shared" ca="1" si="29"/>
        <v>4.8517752861871578E-2</v>
      </c>
      <c r="H143" s="11">
        <f t="shared" ca="1" si="30"/>
        <v>2.7233785250025205E-2</v>
      </c>
      <c r="I143" s="11">
        <f t="shared" ca="1" si="31"/>
        <v>0.12811397311036046</v>
      </c>
      <c r="J143" s="11">
        <f t="shared" ca="1" si="32"/>
        <v>88</v>
      </c>
      <c r="K143" s="11">
        <f t="shared" ca="1" si="33"/>
        <v>87</v>
      </c>
      <c r="L143" s="11">
        <f t="shared" ca="1" si="34"/>
        <v>70</v>
      </c>
      <c r="M143" s="11">
        <f ca="1">MAX(MAX(0,($J143*(1+0.5*Acuity_M))-(Model!$G$24*(1+OTCapPct)*(Cap_Doc*$C143*(1-$G143)))),MAX(0,($J143)-(Model!$G$6*(1+OTCapPct)*(Cap_Nurse*$C143*(1-$H143)))),MAX(0,($J143)-(Model!$G$15*(1+OTCapPct)*(Cap_Tech*$C143*(1-$I143)))),MAX(0,$J143-((BedsCurrent+BedsAdded)*ShiftHours*$F143/BedHr_M)),MAX(0,$J143*Acuity_M-(ImgBase+ImgExpOn*ImgExpAdd)),MAX(0,$J143-(LabBase+LabExpOn*LabExpAdd)))</f>
        <v>1.3424224772645061</v>
      </c>
      <c r="N143" s="11">
        <f ca="1">MAX(MAX(0,($K143*(1+0.5*Acuity_E))-(Model!$G$25*(1+OTCapPct)*(Cap_Doc*$C143*(1-$G143)))),MAX(0,($K143)-(Model!$G$7*(1+OTCapPct)*(Cap_Nurse*$C143*(1-$H143)))),MAX(0,($K143)-(Model!$G$16*(1+OTCapPct)*(Cap_Tech*$C143*(1-$I143)))),MAX(0,$K143-((BedsCurrent+BedsAdded)*ShiftHours*$F143/BedHr_E)),MAX(0,$K143*Acuity_E-(ImgBase+ImgExpOn*ImgExpAdd)),MAX(0,$K143-(LabBase+LabExpOn*LabExpAdd)))</f>
        <v>0</v>
      </c>
      <c r="O143" s="11">
        <f ca="1">MAX(MAX(0,($L143*(1+0.5*Acuity_N))-(Model!$G$26*(1+OTCapPct)*(Cap_Doc*$C143*(1-$G143)))),MAX(0,($L143)-(Model!$G$8*(1+OTCapPct)*(Cap_Nurse*$C143*(1-$H143)))),MAX(0,($L143)-(Model!$G$17*(1+OTCapPct)*(Cap_Tech*$C143*(1-$I143)))),MAX(0,$L143-((BedsCurrent+BedsAdded)*ShiftHours*$F143/BedHr_N)),MAX(0,$L143*Acuity_N-(ImgBase+ImgExpOn*ImgExpAdd)),MAX(0,$L143-(LabBase+LabExpOn*LabExpAdd)))</f>
        <v>3.4299379818115909</v>
      </c>
      <c r="P143" s="11">
        <f t="shared" ca="1" si="35"/>
        <v>4.7723604590760971</v>
      </c>
      <c r="Q143" s="17">
        <f ca="1">((MIN(OTCapPct*Model!$G$24,MAX(0,(($J143*(1+0.5*Acuity_M))/(Cap_Doc*$C143*(1-$G143)))-Model!$G$24)))*OTCost_Doc)+((MIN(OTCapPct*Model!$G$6,MAX(0,(($J143)/(Cap_Nurse*$C143*(1-$H143)))-Model!$G$6)))*OTCost_Nurse)+((MIN(OTCapPct*Model!$G$15,MAX(0,(($J143)/(Cap_Tech*$C143*(1-$I143)))-Model!$G$15)))*OTCost_Tech)+((MIN(OTCapPct*Model!$G$25,MAX(0,(($K143*(1+0.5*Acuity_E))/(Cap_Doc*$C143*(1-$G143)))-Model!$G$25)))*OTCost_Doc)+((MIN(OTCapPct*Model!$G$7,MAX(0,(($K143)/(Cap_Nurse*$C143*(1-$H143)))-Model!$G$7)))*OTCost_Nurse)+((MIN(OTCapPct*Model!$G$16,MAX(0,(($K143)/(Cap_Tech*$C143*(1-$I143)))-Model!$G$16)))*OTCost_Tech)+((MIN(OTCapPct*Model!$G$26,MAX(0,(($L143*(1+0.5*Acuity_N))/(Cap_Doc*$C143*(1-$G143)))-Model!$G$26)))*OTCost_Doc)+((MIN(OTCapPct*Model!$G$8,MAX(0,(($L143)/(Cap_Nurse*$C143*(1-$H143)))-Model!$G$8)))*OTCost_Nurse)+((MIN(OTCapPct*Model!$G$17,MAX(0,(($L143)/(Cap_Tech*$C143*(1-$I143)))-Model!$G$17)))*OTCost_Tech)</f>
        <v>47320.68268271524</v>
      </c>
    </row>
    <row r="144" spans="1:17" x14ac:dyDescent="0.25">
      <c r="A144" s="11">
        <v>140</v>
      </c>
      <c r="B144" s="11" t="str">
        <f t="shared" ca="1" si="24"/>
        <v>Severe</v>
      </c>
      <c r="C144" s="11">
        <f t="shared" ca="1" si="25"/>
        <v>0.8</v>
      </c>
      <c r="D144" s="11">
        <f t="shared" ca="1" si="26"/>
        <v>0</v>
      </c>
      <c r="E144" s="11">
        <f t="shared" ca="1" si="27"/>
        <v>2</v>
      </c>
      <c r="F144" s="36">
        <f t="shared" ca="1" si="28"/>
        <v>1.0282333080912731</v>
      </c>
      <c r="G144" s="11">
        <f t="shared" ca="1" si="29"/>
        <v>0</v>
      </c>
      <c r="H144" s="11">
        <f t="shared" ca="1" si="30"/>
        <v>7.898814936436574E-2</v>
      </c>
      <c r="I144" s="11">
        <f t="shared" ca="1" si="31"/>
        <v>0.15211889570254342</v>
      </c>
      <c r="J144" s="11">
        <f t="shared" ca="1" si="32"/>
        <v>90</v>
      </c>
      <c r="K144" s="11">
        <f t="shared" ca="1" si="33"/>
        <v>105</v>
      </c>
      <c r="L144" s="11">
        <f t="shared" ca="1" si="34"/>
        <v>58</v>
      </c>
      <c r="M144" s="11">
        <f ca="1">MAX(MAX(0,($J144*(1+0.5*Acuity_M))-(Model!$G$24*(1+OTCapPct)*(Cap_Doc*$C144*(1-$G144)))),MAX(0,($J144)-(Model!$G$6*(1+OTCapPct)*(Cap_Nurse*$C144*(1-$H144)))),MAX(0,($J144)-(Model!$G$15*(1+OTCapPct)*(Cap_Tech*$C144*(1-$I144)))),MAX(0,$J144-((BedsCurrent+BedsAdded)*ShiftHours*$F144/BedHr_M)),MAX(0,$J144*Acuity_M-(ImgBase+ImgExpOn*ImgExpAdd)),MAX(0,$J144-(LabBase+LabExpOn*LabExpAdd)))</f>
        <v>13.690700613228913</v>
      </c>
      <c r="N144" s="11">
        <f ca="1">MAX(MAX(0,($K144*(1+0.5*Acuity_E))-(Model!$G$25*(1+OTCapPct)*(Cap_Doc*$C144*(1-$G144)))),MAX(0,($K144)-(Model!$G$7*(1+OTCapPct)*(Cap_Nurse*$C144*(1-$H144)))),MAX(0,($K144)-(Model!$G$16*(1+OTCapPct)*(Cap_Tech*$C144*(1-$I144)))),MAX(0,$K144-((BedsCurrent+BedsAdded)*ShiftHours*$F144/BedHr_E)),MAX(0,$K144*Acuity_E-(ImgBase+ImgExpOn*ImgExpAdd)),MAX(0,$K144-(LabBase+LabExpOn*LabExpAdd)))</f>
        <v>10</v>
      </c>
      <c r="O144" s="11">
        <f ca="1">MAX(MAX(0,($L144*(1+0.5*Acuity_N))-(Model!$G$26*(1+OTCapPct)*(Cap_Doc*$C144*(1-$G144)))),MAX(0,($L144)-(Model!$G$8*(1+OTCapPct)*(Cap_Nurse*$C144*(1-$H144)))),MAX(0,($L144)-(Model!$G$17*(1+OTCapPct)*(Cap_Tech*$C144*(1-$I144)))),MAX(0,$L144-((BedsCurrent+BedsAdded)*ShiftHours*$F144/BedHr_N)),MAX(0,$L144*Acuity_N-(ImgBase+ImgExpOn*ImgExpAdd)),MAX(0,$L144-(LabBase+LabExpOn*LabExpAdd)))</f>
        <v>0</v>
      </c>
      <c r="P144" s="11">
        <f t="shared" ca="1" si="35"/>
        <v>23.690700613228913</v>
      </c>
      <c r="Q144" s="17">
        <f ca="1">((MIN(OTCapPct*Model!$G$24,MAX(0,(($J144*(1+0.5*Acuity_M))/(Cap_Doc*$C144*(1-$G144)))-Model!$G$24)))*OTCost_Doc)+((MIN(OTCapPct*Model!$G$6,MAX(0,(($J144)/(Cap_Nurse*$C144*(1-$H144)))-Model!$G$6)))*OTCost_Nurse)+((MIN(OTCapPct*Model!$G$15,MAX(0,(($J144)/(Cap_Tech*$C144*(1-$I144)))-Model!$G$15)))*OTCost_Tech)+((MIN(OTCapPct*Model!$G$25,MAX(0,(($K144*(1+0.5*Acuity_E))/(Cap_Doc*$C144*(1-$G144)))-Model!$G$25)))*OTCost_Doc)+((MIN(OTCapPct*Model!$G$7,MAX(0,(($K144)/(Cap_Nurse*$C144*(1-$H144)))-Model!$G$7)))*OTCost_Nurse)+((MIN(OTCapPct*Model!$G$16,MAX(0,(($K144)/(Cap_Tech*$C144*(1-$I144)))-Model!$G$16)))*OTCost_Tech)+((MIN(OTCapPct*Model!$G$26,MAX(0,(($L144*(1+0.5*Acuity_N))/(Cap_Doc*$C144*(1-$G144)))-Model!$G$26)))*OTCost_Doc)+((MIN(OTCapPct*Model!$G$8,MAX(0,(($L144)/(Cap_Nurse*$C144*(1-$H144)))-Model!$G$8)))*OTCost_Nurse)+((MIN(OTCapPct*Model!$G$17,MAX(0,(($L144)/(Cap_Tech*$C144*(1-$I144)))-Model!$G$17)))*OTCost_Tech)</f>
        <v>79079.710396413953</v>
      </c>
    </row>
    <row r="145" spans="1:17" x14ac:dyDescent="0.25">
      <c r="A145" s="11">
        <v>141</v>
      </c>
      <c r="B145" s="11" t="str">
        <f t="shared" ca="1" si="24"/>
        <v>Normal</v>
      </c>
      <c r="C145" s="11">
        <f t="shared" ca="1" si="25"/>
        <v>1</v>
      </c>
      <c r="D145" s="11">
        <f t="shared" ca="1" si="26"/>
        <v>0</v>
      </c>
      <c r="E145" s="11">
        <f t="shared" ca="1" si="27"/>
        <v>3</v>
      </c>
      <c r="F145" s="36">
        <f t="shared" ca="1" si="28"/>
        <v>1.0404849608213849</v>
      </c>
      <c r="G145" s="11">
        <f t="shared" ca="1" si="29"/>
        <v>0</v>
      </c>
      <c r="H145" s="11">
        <f t="shared" ca="1" si="30"/>
        <v>0</v>
      </c>
      <c r="I145" s="11">
        <f t="shared" ca="1" si="31"/>
        <v>0</v>
      </c>
      <c r="J145" s="11">
        <f t="shared" ca="1" si="32"/>
        <v>79</v>
      </c>
      <c r="K145" s="11">
        <f t="shared" ca="1" si="33"/>
        <v>138</v>
      </c>
      <c r="L145" s="11">
        <f t="shared" ca="1" si="34"/>
        <v>63</v>
      </c>
      <c r="M145" s="11">
        <f ca="1">MAX(MAX(0,($J145*(1+0.5*Acuity_M))-(Model!$G$24*(1+OTCapPct)*(Cap_Doc*$C145*(1-$G145)))),MAX(0,($J145)-(Model!$G$6*(1+OTCapPct)*(Cap_Nurse*$C145*(1-$H145)))),MAX(0,($J145)-(Model!$G$15*(1+OTCapPct)*(Cap_Tech*$C145*(1-$I145)))),MAX(0,$J145-((BedsCurrent+BedsAdded)*ShiftHours*$F145/BedHr_M)),MAX(0,$J145*Acuity_M-(ImgBase+ImgExpOn*ImgExpAdd)),MAX(0,$J145-(LabBase+LabExpOn*LabExpAdd)))</f>
        <v>0</v>
      </c>
      <c r="N145" s="11">
        <f ca="1">MAX(MAX(0,($K145*(1+0.5*Acuity_E))-(Model!$G$25*(1+OTCapPct)*(Cap_Doc*$C145*(1-$G145)))),MAX(0,($K145)-(Model!$G$7*(1+OTCapPct)*(Cap_Nurse*$C145*(1-$H145)))),MAX(0,($K145)-(Model!$G$16*(1+OTCapPct)*(Cap_Tech*$C145*(1-$I145)))),MAX(0,$K145-((BedsCurrent+BedsAdded)*ShiftHours*$F145/BedHr_E)),MAX(0,$K145*Acuity_E-(ImgBase+ImgExpOn*ImgExpAdd)),MAX(0,$K145-(LabBase+LabExpOn*LabExpAdd)))</f>
        <v>43</v>
      </c>
      <c r="O145" s="11">
        <f ca="1">MAX(MAX(0,($L145*(1+0.5*Acuity_N))-(Model!$G$26*(1+OTCapPct)*(Cap_Doc*$C145*(1-$G145)))),MAX(0,($L145)-(Model!$G$8*(1+OTCapPct)*(Cap_Nurse*$C145*(1-$H145)))),MAX(0,($L145)-(Model!$G$17*(1+OTCapPct)*(Cap_Tech*$C145*(1-$I145)))),MAX(0,$L145-((BedsCurrent+BedsAdded)*ShiftHours*$F145/BedHr_N)),MAX(0,$L145*Acuity_N-(ImgBase+ImgExpOn*ImgExpAdd)),MAX(0,$L145-(LabBase+LabExpOn*LabExpAdd)))</f>
        <v>0</v>
      </c>
      <c r="P145" s="11">
        <f t="shared" ca="1" si="35"/>
        <v>43</v>
      </c>
      <c r="Q145" s="17">
        <f ca="1">((MIN(OTCapPct*Model!$G$24,MAX(0,(($J145*(1+0.5*Acuity_M))/(Cap_Doc*$C145*(1-$G145)))-Model!$G$24)))*OTCost_Doc)+((MIN(OTCapPct*Model!$G$6,MAX(0,(($J145)/(Cap_Nurse*$C145*(1-$H145)))-Model!$G$6)))*OTCost_Nurse)+((MIN(OTCapPct*Model!$G$15,MAX(0,(($J145)/(Cap_Tech*$C145*(1-$I145)))-Model!$G$15)))*OTCost_Tech)+((MIN(OTCapPct*Model!$G$25,MAX(0,(($K145*(1+0.5*Acuity_E))/(Cap_Doc*$C145*(1-$G145)))-Model!$G$25)))*OTCost_Doc)+((MIN(OTCapPct*Model!$G$7,MAX(0,(($K145)/(Cap_Nurse*$C145*(1-$H145)))-Model!$G$7)))*OTCost_Nurse)+((MIN(OTCapPct*Model!$G$16,MAX(0,(($K145)/(Cap_Tech*$C145*(1-$I145)))-Model!$G$16)))*OTCost_Tech)+((MIN(OTCapPct*Model!$G$26,MAX(0,(($L145*(1+0.5*Acuity_N))/(Cap_Doc*$C145*(1-$G145)))-Model!$G$26)))*OTCost_Doc)+((MIN(OTCapPct*Model!$G$8,MAX(0,(($L145)/(Cap_Nurse*$C145*(1-$H145)))-Model!$G$8)))*OTCost_Nurse)+((MIN(OTCapPct*Model!$G$17,MAX(0,(($L145)/(Cap_Tech*$C145*(1-$I145)))-Model!$G$17)))*OTCost_Tech)</f>
        <v>36577.500000000022</v>
      </c>
    </row>
    <row r="146" spans="1:17" x14ac:dyDescent="0.25">
      <c r="A146" s="11">
        <v>142</v>
      </c>
      <c r="B146" s="11" t="str">
        <f t="shared" ca="1" si="24"/>
        <v>Normal</v>
      </c>
      <c r="C146" s="11">
        <f t="shared" ca="1" si="25"/>
        <v>1</v>
      </c>
      <c r="D146" s="11">
        <f t="shared" ca="1" si="26"/>
        <v>0</v>
      </c>
      <c r="E146" s="11">
        <f t="shared" ca="1" si="27"/>
        <v>1</v>
      </c>
      <c r="F146" s="36">
        <f t="shared" ca="1" si="28"/>
        <v>1.0323517231039812</v>
      </c>
      <c r="G146" s="11">
        <f t="shared" ca="1" si="29"/>
        <v>1.6083282986381137E-2</v>
      </c>
      <c r="H146" s="11">
        <f t="shared" ca="1" si="30"/>
        <v>1.0497173815960631E-2</v>
      </c>
      <c r="I146" s="11">
        <f t="shared" ca="1" si="31"/>
        <v>3.3567272268268382E-2</v>
      </c>
      <c r="J146" s="11">
        <f t="shared" ca="1" si="32"/>
        <v>80</v>
      </c>
      <c r="K146" s="11">
        <f t="shared" ca="1" si="33"/>
        <v>137</v>
      </c>
      <c r="L146" s="11">
        <f t="shared" ca="1" si="34"/>
        <v>56</v>
      </c>
      <c r="M146" s="11">
        <f ca="1">MAX(MAX(0,($J146*(1+0.5*Acuity_M))-(Model!$G$24*(1+OTCapPct)*(Cap_Doc*$C146*(1-$G146)))),MAX(0,($J146)-(Model!$G$6*(1+OTCapPct)*(Cap_Nurse*$C146*(1-$H146)))),MAX(0,($J146)-(Model!$G$15*(1+OTCapPct)*(Cap_Tech*$C146*(1-$I146)))),MAX(0,$J146-((BedsCurrent+BedsAdded)*ShiftHours*$F146/BedHr_M)),MAX(0,$J146*Acuity_M-(ImgBase+ImgExpOn*ImgExpAdd)),MAX(0,$J146-(LabBase+LabExpOn*LabExpAdd)))</f>
        <v>0</v>
      </c>
      <c r="N146" s="11">
        <f ca="1">MAX(MAX(0,($K146*(1+0.5*Acuity_E))-(Model!$G$25*(1+OTCapPct)*(Cap_Doc*$C146*(1-$G146)))),MAX(0,($K146)-(Model!$G$7*(1+OTCapPct)*(Cap_Nurse*$C146*(1-$H146)))),MAX(0,($K146)-(Model!$G$16*(1+OTCapPct)*(Cap_Tech*$C146*(1-$I146)))),MAX(0,$K146-((BedsCurrent+BedsAdded)*ShiftHours*$F146/BedHr_E)),MAX(0,$K146*Acuity_E-(ImgBase+ImgExpOn*ImgExpAdd)),MAX(0,$K146-(LabBase+LabExpOn*LabExpAdd)))</f>
        <v>42</v>
      </c>
      <c r="O146" s="11">
        <f ca="1">MAX(MAX(0,($L146*(1+0.5*Acuity_N))-(Model!$G$26*(1+OTCapPct)*(Cap_Doc*$C146*(1-$G146)))),MAX(0,($L146)-(Model!$G$8*(1+OTCapPct)*(Cap_Nurse*$C146*(1-$H146)))),MAX(0,($L146)-(Model!$G$17*(1+OTCapPct)*(Cap_Tech*$C146*(1-$I146)))),MAX(0,$L146-((BedsCurrent+BedsAdded)*ShiftHours*$F146/BedHr_N)),MAX(0,$L146*Acuity_N-(ImgBase+ImgExpOn*ImgExpAdd)),MAX(0,$L146-(LabBase+LabExpOn*LabExpAdd)))</f>
        <v>0</v>
      </c>
      <c r="P146" s="11">
        <f t="shared" ca="1" si="35"/>
        <v>42</v>
      </c>
      <c r="Q146" s="17">
        <f ca="1">((MIN(OTCapPct*Model!$G$24,MAX(0,(($J146*(1+0.5*Acuity_M))/(Cap_Doc*$C146*(1-$G146)))-Model!$G$24)))*OTCost_Doc)+((MIN(OTCapPct*Model!$G$6,MAX(0,(($J146)/(Cap_Nurse*$C146*(1-$H146)))-Model!$G$6)))*OTCost_Nurse)+((MIN(OTCapPct*Model!$G$15,MAX(0,(($J146)/(Cap_Tech*$C146*(1-$I146)))-Model!$G$15)))*OTCost_Tech)+((MIN(OTCapPct*Model!$G$25,MAX(0,(($K146*(1+0.5*Acuity_E))/(Cap_Doc*$C146*(1-$G146)))-Model!$G$25)))*OTCost_Doc)+((MIN(OTCapPct*Model!$G$7,MAX(0,(($K146)/(Cap_Nurse*$C146*(1-$H146)))-Model!$G$7)))*OTCost_Nurse)+((MIN(OTCapPct*Model!$G$16,MAX(0,(($K146)/(Cap_Tech*$C146*(1-$I146)))-Model!$G$16)))*OTCost_Tech)+((MIN(OTCapPct*Model!$G$26,MAX(0,(($L146*(1+0.5*Acuity_N))/(Cap_Doc*$C146*(1-$G146)))-Model!$G$26)))*OTCost_Doc)+((MIN(OTCapPct*Model!$G$8,MAX(0,(($L146)/(Cap_Nurse*$C146*(1-$H146)))-Model!$G$8)))*OTCost_Nurse)+((MIN(OTCapPct*Model!$G$17,MAX(0,(($L146)/(Cap_Tech*$C146*(1-$I146)))-Model!$G$17)))*OTCost_Tech)</f>
        <v>37435.638107651517</v>
      </c>
    </row>
    <row r="147" spans="1:17" x14ac:dyDescent="0.25">
      <c r="A147" s="11">
        <v>143</v>
      </c>
      <c r="B147" s="11" t="str">
        <f t="shared" ca="1" si="24"/>
        <v>Normal</v>
      </c>
      <c r="C147" s="11">
        <f t="shared" ca="1" si="25"/>
        <v>1</v>
      </c>
      <c r="D147" s="11">
        <f t="shared" ca="1" si="26"/>
        <v>0</v>
      </c>
      <c r="E147" s="11">
        <f t="shared" ca="1" si="27"/>
        <v>3</v>
      </c>
      <c r="F147" s="36">
        <f t="shared" ca="1" si="28"/>
        <v>1.163266360413163</v>
      </c>
      <c r="G147" s="11">
        <f t="shared" ca="1" si="29"/>
        <v>0.11755084856369311</v>
      </c>
      <c r="H147" s="11">
        <f t="shared" ca="1" si="30"/>
        <v>0</v>
      </c>
      <c r="I147" s="11">
        <f t="shared" ca="1" si="31"/>
        <v>0</v>
      </c>
      <c r="J147" s="11">
        <f t="shared" ca="1" si="32"/>
        <v>100</v>
      </c>
      <c r="K147" s="11">
        <f t="shared" ca="1" si="33"/>
        <v>117</v>
      </c>
      <c r="L147" s="11">
        <f t="shared" ca="1" si="34"/>
        <v>65</v>
      </c>
      <c r="M147" s="11">
        <f ca="1">MAX(MAX(0,($J147*(1+0.5*Acuity_M))-(Model!$G$24*(1+OTCapPct)*(Cap_Doc*$C147*(1-$G147)))),MAX(0,($J147)-(Model!$G$6*(1+OTCapPct)*(Cap_Nurse*$C147*(1-$H147)))),MAX(0,($J147)-(Model!$G$15*(1+OTCapPct)*(Cap_Tech*$C147*(1-$I147)))),MAX(0,$J147-((BedsCurrent+BedsAdded)*ShiftHours*$F147/BedHr_M)),MAX(0,$J147*Acuity_M-(ImgBase+ImgExpOn*ImgExpAdd)),MAX(0,$J147-(LabBase+LabExpOn*LabExpAdd)))</f>
        <v>11.7244704634155</v>
      </c>
      <c r="N147" s="11">
        <f ca="1">MAX(MAX(0,($K147*(1+0.5*Acuity_E))-(Model!$G$25*(1+OTCapPct)*(Cap_Doc*$C147*(1-$G147)))),MAX(0,($K147)-(Model!$G$7*(1+OTCapPct)*(Cap_Nurse*$C147*(1-$H147)))),MAX(0,($K147)-(Model!$G$16*(1+OTCapPct)*(Cap_Tech*$C147*(1-$I147)))),MAX(0,$K147-((BedsCurrent+BedsAdded)*ShiftHours*$F147/BedHr_E)),MAX(0,$K147*Acuity_E-(ImgBase+ImgExpOn*ImgExpAdd)),MAX(0,$K147-(LabBase+LabExpOn*LabExpAdd)))</f>
        <v>22</v>
      </c>
      <c r="O147" s="11">
        <f ca="1">MAX(MAX(0,($L147*(1+0.5*Acuity_N))-(Model!$G$26*(1+OTCapPct)*(Cap_Doc*$C147*(1-$G147)))),MAX(0,($L147)-(Model!$G$8*(1+OTCapPct)*(Cap_Nurse*$C147*(1-$H147)))),MAX(0,($L147)-(Model!$G$17*(1+OTCapPct)*(Cap_Tech*$C147*(1-$I147)))),MAX(0,$L147-((BedsCurrent+BedsAdded)*ShiftHours*$F147/BedHr_N)),MAX(0,$L147*Acuity_N-(ImgBase+ImgExpOn*ImgExpAdd)),MAX(0,$L147-(LabBase+LabExpOn*LabExpAdd)))</f>
        <v>0</v>
      </c>
      <c r="P147" s="11">
        <f t="shared" ca="1" si="35"/>
        <v>33.7244704634155</v>
      </c>
      <c r="Q147" s="17">
        <f ca="1">((MIN(OTCapPct*Model!$G$24,MAX(0,(($J147*(1+0.5*Acuity_M))/(Cap_Doc*$C147*(1-$G147)))-Model!$G$24)))*OTCost_Doc)+((MIN(OTCapPct*Model!$G$6,MAX(0,(($J147)/(Cap_Nurse*$C147*(1-$H147)))-Model!$G$6)))*OTCost_Nurse)+((MIN(OTCapPct*Model!$G$15,MAX(0,(($J147)/(Cap_Tech*$C147*(1-$I147)))-Model!$G$15)))*OTCost_Tech)+((MIN(OTCapPct*Model!$G$25,MAX(0,(($K147*(1+0.5*Acuity_E))/(Cap_Doc*$C147*(1-$G147)))-Model!$G$25)))*OTCost_Doc)+((MIN(OTCapPct*Model!$G$7,MAX(0,(($K147)/(Cap_Nurse*$C147*(1-$H147)))-Model!$G$7)))*OTCost_Nurse)+((MIN(OTCapPct*Model!$G$16,MAX(0,(($K147)/(Cap_Tech*$C147*(1-$I147)))-Model!$G$16)))*OTCost_Tech)+((MIN(OTCapPct*Model!$G$26,MAX(0,(($L147*(1+0.5*Acuity_N))/(Cap_Doc*$C147*(1-$G147)))-Model!$G$26)))*OTCost_Doc)+((MIN(OTCapPct*Model!$G$8,MAX(0,(($L147)/(Cap_Nurse*$C147*(1-$H147)))-Model!$G$8)))*OTCost_Nurse)+((MIN(OTCapPct*Model!$G$17,MAX(0,(($L147)/(Cap_Tech*$C147*(1-$I147)))-Model!$G$17)))*OTCost_Tech)</f>
        <v>55599.545417259054</v>
      </c>
    </row>
    <row r="148" spans="1:17" x14ac:dyDescent="0.25">
      <c r="A148" s="11">
        <v>144</v>
      </c>
      <c r="B148" s="11" t="str">
        <f t="shared" ca="1" si="24"/>
        <v>Complex</v>
      </c>
      <c r="C148" s="11">
        <f t="shared" ca="1" si="25"/>
        <v>0.9</v>
      </c>
      <c r="D148" s="11">
        <f t="shared" ca="1" si="26"/>
        <v>0</v>
      </c>
      <c r="E148" s="11">
        <f t="shared" ca="1" si="27"/>
        <v>3</v>
      </c>
      <c r="F148" s="36">
        <f t="shared" ca="1" si="28"/>
        <v>0.90932990311714856</v>
      </c>
      <c r="G148" s="11">
        <f t="shared" ca="1" si="29"/>
        <v>0</v>
      </c>
      <c r="H148" s="11">
        <f t="shared" ca="1" si="30"/>
        <v>6.8727856720511141E-2</v>
      </c>
      <c r="I148" s="11">
        <f t="shared" ca="1" si="31"/>
        <v>7.6461686257540004E-2</v>
      </c>
      <c r="J148" s="11">
        <f t="shared" ca="1" si="32"/>
        <v>78</v>
      </c>
      <c r="K148" s="11">
        <f t="shared" ca="1" si="33"/>
        <v>135</v>
      </c>
      <c r="L148" s="11">
        <f t="shared" ca="1" si="34"/>
        <v>79</v>
      </c>
      <c r="M148" s="11">
        <f ca="1">MAX(MAX(0,($J148*(1+0.5*Acuity_M))-(Model!$G$24*(1+OTCapPct)*(Cap_Doc*$C148*(1-$G148)))),MAX(0,($J148)-(Model!$G$6*(1+OTCapPct)*(Cap_Nurse*$C148*(1-$H148)))),MAX(0,($J148)-(Model!$G$15*(1+OTCapPct)*(Cap_Tech*$C148*(1-$I148)))),MAX(0,$J148-((BedsCurrent+BedsAdded)*ShiftHours*$F148/BedHr_M)),MAX(0,$J148*Acuity_M-(ImgBase+ImgExpOn*ImgExpAdd)),MAX(0,$J148-(LabBase+LabExpOn*LabExpAdd)))</f>
        <v>0</v>
      </c>
      <c r="N148" s="11">
        <f ca="1">MAX(MAX(0,($K148*(1+0.5*Acuity_E))-(Model!$G$25*(1+OTCapPct)*(Cap_Doc*$C148*(1-$G148)))),MAX(0,($K148)-(Model!$G$7*(1+OTCapPct)*(Cap_Nurse*$C148*(1-$H148)))),MAX(0,($K148)-(Model!$G$16*(1+OTCapPct)*(Cap_Tech*$C148*(1-$I148)))),MAX(0,$K148-((BedsCurrent+BedsAdded)*ShiftHours*$F148/BedHr_E)),MAX(0,$K148*Acuity_E-(ImgBase+ImgExpOn*ImgExpAdd)),MAX(0,$K148-(LabBase+LabExpOn*LabExpAdd)))</f>
        <v>40</v>
      </c>
      <c r="O148" s="11">
        <f ca="1">MAX(MAX(0,($L148*(1+0.5*Acuity_N))-(Model!$G$26*(1+OTCapPct)*(Cap_Doc*$C148*(1-$G148)))),MAX(0,($L148)-(Model!$G$8*(1+OTCapPct)*(Cap_Nurse*$C148*(1-$H148)))),MAX(0,($L148)-(Model!$G$17*(1+OTCapPct)*(Cap_Tech*$C148*(1-$I148)))),MAX(0,$L148-((BedsCurrent+BedsAdded)*ShiftHours*$F148/BedHr_N)),MAX(0,$L148*Acuity_N-(ImgBase+ImgExpOn*ImgExpAdd)),MAX(0,$L148-(LabBase+LabExpOn*LabExpAdd)))</f>
        <v>9.8499999999999943</v>
      </c>
      <c r="P148" s="11">
        <f t="shared" ca="1" si="35"/>
        <v>49.849999999999994</v>
      </c>
      <c r="Q148" s="17">
        <f ca="1">((MIN(OTCapPct*Model!$G$24,MAX(0,(($J148*(1+0.5*Acuity_M))/(Cap_Doc*$C148*(1-$G148)))-Model!$G$24)))*OTCost_Doc)+((MIN(OTCapPct*Model!$G$6,MAX(0,(($J148)/(Cap_Nurse*$C148*(1-$H148)))-Model!$G$6)))*OTCost_Nurse)+((MIN(OTCapPct*Model!$G$15,MAX(0,(($J148)/(Cap_Tech*$C148*(1-$I148)))-Model!$G$15)))*OTCost_Tech)+((MIN(OTCapPct*Model!$G$25,MAX(0,(($K148*(1+0.5*Acuity_E))/(Cap_Doc*$C148*(1-$G148)))-Model!$G$25)))*OTCost_Doc)+((MIN(OTCapPct*Model!$G$7,MAX(0,(($K148)/(Cap_Nurse*$C148*(1-$H148)))-Model!$G$7)))*OTCost_Nurse)+((MIN(OTCapPct*Model!$G$16,MAX(0,(($K148)/(Cap_Tech*$C148*(1-$I148)))-Model!$G$16)))*OTCost_Tech)+((MIN(OTCapPct*Model!$G$26,MAX(0,(($L148*(1+0.5*Acuity_N))/(Cap_Doc*$C148*(1-$G148)))-Model!$G$26)))*OTCost_Doc)+((MIN(OTCapPct*Model!$G$8,MAX(0,(($L148)/(Cap_Nurse*$C148*(1-$H148)))-Model!$G$8)))*OTCost_Nurse)+((MIN(OTCapPct*Model!$G$17,MAX(0,(($L148)/(Cap_Tech*$C148*(1-$I148)))-Model!$G$17)))*OTCost_Tech)</f>
        <v>79165.121092297733</v>
      </c>
    </row>
    <row r="149" spans="1:17" x14ac:dyDescent="0.25">
      <c r="A149" s="11">
        <v>145</v>
      </c>
      <c r="B149" s="11" t="str">
        <f t="shared" ca="1" si="24"/>
        <v>Complex</v>
      </c>
      <c r="C149" s="11">
        <f t="shared" ca="1" si="25"/>
        <v>0.9</v>
      </c>
      <c r="D149" s="11">
        <f t="shared" ca="1" si="26"/>
        <v>0</v>
      </c>
      <c r="E149" s="11">
        <f t="shared" ca="1" si="27"/>
        <v>3</v>
      </c>
      <c r="F149" s="36">
        <f t="shared" ca="1" si="28"/>
        <v>1.0982946321023603</v>
      </c>
      <c r="G149" s="11">
        <f t="shared" ca="1" si="29"/>
        <v>0</v>
      </c>
      <c r="H149" s="11">
        <f t="shared" ca="1" si="30"/>
        <v>9.6789588222489426E-2</v>
      </c>
      <c r="I149" s="11">
        <f t="shared" ca="1" si="31"/>
        <v>7.8343740838856438E-2</v>
      </c>
      <c r="J149" s="11">
        <f t="shared" ca="1" si="32"/>
        <v>91</v>
      </c>
      <c r="K149" s="11">
        <f t="shared" ca="1" si="33"/>
        <v>90</v>
      </c>
      <c r="L149" s="11">
        <f t="shared" ca="1" si="34"/>
        <v>64</v>
      </c>
      <c r="M149" s="11">
        <f ca="1">MAX(MAX(0,($J149*(1+0.5*Acuity_M))-(Model!$G$24*(1+OTCapPct)*(Cap_Doc*$C149*(1-$G149)))),MAX(0,($J149)-(Model!$G$6*(1+OTCapPct)*(Cap_Nurse*$C149*(1-$H149)))),MAX(0,($J149)-(Model!$G$15*(1+OTCapPct)*(Cap_Tech*$C149*(1-$I149)))),MAX(0,$J149-((BedsCurrent+BedsAdded)*ShiftHours*$F149/BedHr_M)),MAX(0,$J149*Acuity_M-(ImgBase+ImgExpOn*ImgExpAdd)),MAX(0,$J149-(LabBase+LabExpOn*LabExpAdd)))</f>
        <v>5.6466160870252367</v>
      </c>
      <c r="N149" s="11">
        <f ca="1">MAX(MAX(0,($K149*(1+0.5*Acuity_E))-(Model!$G$25*(1+OTCapPct)*(Cap_Doc*$C149*(1-$G149)))),MAX(0,($K149)-(Model!$G$7*(1+OTCapPct)*(Cap_Nurse*$C149*(1-$H149)))),MAX(0,($K149)-(Model!$G$16*(1+OTCapPct)*(Cap_Tech*$C149*(1-$I149)))),MAX(0,$K149-((BedsCurrent+BedsAdded)*ShiftHours*$F149/BedHr_E)),MAX(0,$K149*Acuity_E-(ImgBase+ImgExpOn*ImgExpAdd)),MAX(0,$K149-(LabBase+LabExpOn*LabExpAdd)))</f>
        <v>0</v>
      </c>
      <c r="O149" s="11">
        <f ca="1">MAX(MAX(0,($L149*(1+0.5*Acuity_N))-(Model!$G$26*(1+OTCapPct)*(Cap_Doc*$C149*(1-$G149)))),MAX(0,($L149)-(Model!$G$8*(1+OTCapPct)*(Cap_Nurse*$C149*(1-$H149)))),MAX(0,($L149)-(Model!$G$17*(1+OTCapPct)*(Cap_Tech*$C149*(1-$I149)))),MAX(0,$L149-((BedsCurrent+BedsAdded)*ShiftHours*$F149/BedHr_N)),MAX(0,$L149*Acuity_N-(ImgBase+ImgExpOn*ImgExpAdd)),MAX(0,$L149-(LabBase+LabExpOn*LabExpAdd)))</f>
        <v>0</v>
      </c>
      <c r="P149" s="11">
        <f t="shared" ca="1" si="35"/>
        <v>5.6466160870252367</v>
      </c>
      <c r="Q149" s="17">
        <f ca="1">((MIN(OTCapPct*Model!$G$24,MAX(0,(($J149*(1+0.5*Acuity_M))/(Cap_Doc*$C149*(1-$G149)))-Model!$G$24)))*OTCost_Doc)+((MIN(OTCapPct*Model!$G$6,MAX(0,(($J149)/(Cap_Nurse*$C149*(1-$H149)))-Model!$G$6)))*OTCost_Nurse)+((MIN(OTCapPct*Model!$G$15,MAX(0,(($J149)/(Cap_Tech*$C149*(1-$I149)))-Model!$G$15)))*OTCost_Tech)+((MIN(OTCapPct*Model!$G$25,MAX(0,(($K149*(1+0.5*Acuity_E))/(Cap_Doc*$C149*(1-$G149)))-Model!$G$25)))*OTCost_Doc)+((MIN(OTCapPct*Model!$G$7,MAX(0,(($K149)/(Cap_Nurse*$C149*(1-$H149)))-Model!$G$7)))*OTCost_Nurse)+((MIN(OTCapPct*Model!$G$16,MAX(0,(($K149)/(Cap_Tech*$C149*(1-$I149)))-Model!$G$16)))*OTCost_Tech)+((MIN(OTCapPct*Model!$G$26,MAX(0,(($L149*(1+0.5*Acuity_N))/(Cap_Doc*$C149*(1-$G149)))-Model!$G$26)))*OTCost_Doc)+((MIN(OTCapPct*Model!$G$8,MAX(0,(($L149)/(Cap_Nurse*$C149*(1-$H149)))-Model!$G$8)))*OTCost_Nurse)+((MIN(OTCapPct*Model!$G$17,MAX(0,(($L149)/(Cap_Tech*$C149*(1-$I149)))-Model!$G$17)))*OTCost_Tech)</f>
        <v>42313.876204655789</v>
      </c>
    </row>
    <row r="150" spans="1:17" x14ac:dyDescent="0.25">
      <c r="A150" s="11">
        <v>146</v>
      </c>
      <c r="B150" s="11" t="str">
        <f t="shared" ca="1" si="24"/>
        <v>Complex</v>
      </c>
      <c r="C150" s="11">
        <f t="shared" ca="1" si="25"/>
        <v>0.9</v>
      </c>
      <c r="D150" s="11">
        <f t="shared" ca="1" si="26"/>
        <v>0</v>
      </c>
      <c r="E150" s="11">
        <f t="shared" ca="1" si="27"/>
        <v>2</v>
      </c>
      <c r="F150" s="36">
        <f t="shared" ca="1" si="28"/>
        <v>0.89349530359701512</v>
      </c>
      <c r="G150" s="11">
        <f t="shared" ca="1" si="29"/>
        <v>7.0395000595441168E-2</v>
      </c>
      <c r="H150" s="11">
        <f t="shared" ca="1" si="30"/>
        <v>0.15801979568169869</v>
      </c>
      <c r="I150" s="11">
        <f t="shared" ca="1" si="31"/>
        <v>0.20959446537495552</v>
      </c>
      <c r="J150" s="11">
        <f t="shared" ca="1" si="32"/>
        <v>112</v>
      </c>
      <c r="K150" s="11">
        <f t="shared" ca="1" si="33"/>
        <v>136</v>
      </c>
      <c r="L150" s="11">
        <f t="shared" ca="1" si="34"/>
        <v>46</v>
      </c>
      <c r="M150" s="11">
        <f ca="1">MAX(MAX(0,($J150*(1+0.5*Acuity_M))-(Model!$G$24*(1+OTCapPct)*(Cap_Doc*$C150*(1-$G150)))),MAX(0,($J150)-(Model!$G$6*(1+OTCapPct)*(Cap_Nurse*$C150*(1-$H150)))),MAX(0,($J150)-(Model!$G$15*(1+OTCapPct)*(Cap_Tech*$C150*(1-$I150)))),MAX(0,$J150-((BedsCurrent+BedsAdded)*ShiftHours*$F150/BedHr_M)),MAX(0,$J150*Acuity_M-(ImgBase+ImgExpOn*ImgExpAdd)),MAX(0,$J150-(LabBase+LabExpOn*LabExpAdd)))</f>
        <v>32.432870691920513</v>
      </c>
      <c r="N150" s="11">
        <f ca="1">MAX(MAX(0,($K150*(1+0.5*Acuity_E))-(Model!$G$25*(1+OTCapPct)*(Cap_Doc*$C150*(1-$G150)))),MAX(0,($K150)-(Model!$G$7*(1+OTCapPct)*(Cap_Nurse*$C150*(1-$H150)))),MAX(0,($K150)-(Model!$G$16*(1+OTCapPct)*(Cap_Tech*$C150*(1-$I150)))),MAX(0,$K150-((BedsCurrent+BedsAdded)*ShiftHours*$F150/BedHr_E)),MAX(0,$K150*Acuity_E-(ImgBase+ImgExpOn*ImgExpAdd)),MAX(0,$K150-(LabBase+LabExpOn*LabExpAdd)))</f>
        <v>41</v>
      </c>
      <c r="O150" s="11">
        <f ca="1">MAX(MAX(0,($L150*(1+0.5*Acuity_N))-(Model!$G$26*(1+OTCapPct)*(Cap_Doc*$C150*(1-$G150)))),MAX(0,($L150)-(Model!$G$8*(1+OTCapPct)*(Cap_Nurse*$C150*(1-$H150)))),MAX(0,($L150)-(Model!$G$17*(1+OTCapPct)*(Cap_Tech*$C150*(1-$I150)))),MAX(0,$L150-((BedsCurrent+BedsAdded)*ShiftHours*$F150/BedHr_N)),MAX(0,$L150*Acuity_N-(ImgBase+ImgExpOn*ImgExpAdd)),MAX(0,$L150-(LabBase+LabExpOn*LabExpAdd)))</f>
        <v>0</v>
      </c>
      <c r="P150" s="11">
        <f t="shared" ca="1" si="35"/>
        <v>73.432870691920513</v>
      </c>
      <c r="Q150" s="17">
        <f ca="1">((MIN(OTCapPct*Model!$G$24,MAX(0,(($J150*(1+0.5*Acuity_M))/(Cap_Doc*$C150*(1-$G150)))-Model!$G$24)))*OTCost_Doc)+((MIN(OTCapPct*Model!$G$6,MAX(0,(($J150)/(Cap_Nurse*$C150*(1-$H150)))-Model!$G$6)))*OTCost_Nurse)+((MIN(OTCapPct*Model!$G$15,MAX(0,(($J150)/(Cap_Tech*$C150*(1-$I150)))-Model!$G$15)))*OTCost_Tech)+((MIN(OTCapPct*Model!$G$25,MAX(0,(($K150*(1+0.5*Acuity_E))/(Cap_Doc*$C150*(1-$G150)))-Model!$G$25)))*OTCost_Doc)+((MIN(OTCapPct*Model!$G$7,MAX(0,(($K150)/(Cap_Nurse*$C150*(1-$H150)))-Model!$G$7)))*OTCost_Nurse)+((MIN(OTCapPct*Model!$G$16,MAX(0,(($K150)/(Cap_Tech*$C150*(1-$I150)))-Model!$G$16)))*OTCost_Tech)+((MIN(OTCapPct*Model!$G$26,MAX(0,(($L150*(1+0.5*Acuity_N))/(Cap_Doc*$C150*(1-$G150)))-Model!$G$26)))*OTCost_Doc)+((MIN(OTCapPct*Model!$G$8,MAX(0,(($L150)/(Cap_Nurse*$C150*(1-$H150)))-Model!$G$8)))*OTCost_Nurse)+((MIN(OTCapPct*Model!$G$17,MAX(0,(($L150)/(Cap_Tech*$C150*(1-$I150)))-Model!$G$17)))*OTCost_Tech)</f>
        <v>76875</v>
      </c>
    </row>
    <row r="151" spans="1:17" x14ac:dyDescent="0.25">
      <c r="A151" s="11">
        <v>147</v>
      </c>
      <c r="B151" s="11" t="str">
        <f t="shared" ca="1" si="24"/>
        <v>Normal</v>
      </c>
      <c r="C151" s="11">
        <f t="shared" ca="1" si="25"/>
        <v>1</v>
      </c>
      <c r="D151" s="11">
        <f t="shared" ca="1" si="26"/>
        <v>0</v>
      </c>
      <c r="E151" s="11">
        <f t="shared" ca="1" si="27"/>
        <v>1</v>
      </c>
      <c r="F151" s="36">
        <f t="shared" ca="1" si="28"/>
        <v>0.93960353342720293</v>
      </c>
      <c r="G151" s="11">
        <f t="shared" ca="1" si="29"/>
        <v>9.0708652016380703E-2</v>
      </c>
      <c r="H151" s="11">
        <f t="shared" ca="1" si="30"/>
        <v>8.473192127747782E-2</v>
      </c>
      <c r="I151" s="11">
        <f t="shared" ca="1" si="31"/>
        <v>0.19261317063954331</v>
      </c>
      <c r="J151" s="11">
        <f t="shared" ca="1" si="32"/>
        <v>84</v>
      </c>
      <c r="K151" s="11">
        <f t="shared" ca="1" si="33"/>
        <v>126</v>
      </c>
      <c r="L151" s="11">
        <f t="shared" ca="1" si="34"/>
        <v>68</v>
      </c>
      <c r="M151" s="11">
        <f ca="1">MAX(MAX(0,($J151*(1+0.5*Acuity_M))-(Model!$G$24*(1+OTCapPct)*(Cap_Doc*$C151*(1-$G151)))),MAX(0,($J151)-(Model!$G$6*(1+OTCapPct)*(Cap_Nurse*$C151*(1-$H151)))),MAX(0,($J151)-(Model!$G$15*(1+OTCapPct)*(Cap_Tech*$C151*(1-$I151)))),MAX(0,$J151-((BedsCurrent+BedsAdded)*ShiftHours*$F151/BedHr_M)),MAX(0,$J151*Acuity_M-(ImgBase+ImgExpOn*ImgExpAdd)),MAX(0,$J151-(LabBase+LabExpOn*LabExpAdd)))</f>
        <v>0</v>
      </c>
      <c r="N151" s="11">
        <f ca="1">MAX(MAX(0,($K151*(1+0.5*Acuity_E))-(Model!$G$25*(1+OTCapPct)*(Cap_Doc*$C151*(1-$G151)))),MAX(0,($K151)-(Model!$G$7*(1+OTCapPct)*(Cap_Nurse*$C151*(1-$H151)))),MAX(0,($K151)-(Model!$G$16*(1+OTCapPct)*(Cap_Tech*$C151*(1-$I151)))),MAX(0,$K151-((BedsCurrent+BedsAdded)*ShiftHours*$F151/BedHr_E)),MAX(0,$K151*Acuity_E-(ImgBase+ImgExpOn*ImgExpAdd)),MAX(0,$K151-(LabBase+LabExpOn*LabExpAdd)))</f>
        <v>31</v>
      </c>
      <c r="O151" s="11">
        <f ca="1">MAX(MAX(0,($L151*(1+0.5*Acuity_N))-(Model!$G$26*(1+OTCapPct)*(Cap_Doc*$C151*(1-$G151)))),MAX(0,($L151)-(Model!$G$8*(1+OTCapPct)*(Cap_Nurse*$C151*(1-$H151)))),MAX(0,($L151)-(Model!$G$17*(1+OTCapPct)*(Cap_Tech*$C151*(1-$I151)))),MAX(0,$L151-((BedsCurrent+BedsAdded)*ShiftHours*$F151/BedHr_N)),MAX(0,$L151*Acuity_N-(ImgBase+ImgExpOn*ImgExpAdd)),MAX(0,$L151-(LabBase+LabExpOn*LabExpAdd)))</f>
        <v>0</v>
      </c>
      <c r="P151" s="11">
        <f t="shared" ca="1" si="35"/>
        <v>31</v>
      </c>
      <c r="Q151" s="17">
        <f ca="1">((MIN(OTCapPct*Model!$G$24,MAX(0,(($J151*(1+0.5*Acuity_M))/(Cap_Doc*$C151*(1-$G151)))-Model!$G$24)))*OTCost_Doc)+((MIN(OTCapPct*Model!$G$6,MAX(0,(($J151)/(Cap_Nurse*$C151*(1-$H151)))-Model!$G$6)))*OTCost_Nurse)+((MIN(OTCapPct*Model!$G$15,MAX(0,(($J151)/(Cap_Tech*$C151*(1-$I151)))-Model!$G$15)))*OTCost_Tech)+((MIN(OTCapPct*Model!$G$25,MAX(0,(($K151*(1+0.5*Acuity_E))/(Cap_Doc*$C151*(1-$G151)))-Model!$G$25)))*OTCost_Doc)+((MIN(OTCapPct*Model!$G$7,MAX(0,(($K151)/(Cap_Nurse*$C151*(1-$H151)))-Model!$G$7)))*OTCost_Nurse)+((MIN(OTCapPct*Model!$G$16,MAX(0,(($K151)/(Cap_Tech*$C151*(1-$I151)))-Model!$G$16)))*OTCost_Tech)+((MIN(OTCapPct*Model!$G$26,MAX(0,(($L151*(1+0.5*Acuity_N))/(Cap_Doc*$C151*(1-$G151)))-Model!$G$26)))*OTCost_Doc)+((MIN(OTCapPct*Model!$G$8,MAX(0,(($L151)/(Cap_Nurse*$C151*(1-$H151)))-Model!$G$8)))*OTCost_Nurse)+((MIN(OTCapPct*Model!$G$17,MAX(0,(($L151)/(Cap_Tech*$C151*(1-$I151)))-Model!$G$17)))*OTCost_Tech)</f>
        <v>65895.460173393076</v>
      </c>
    </row>
    <row r="152" spans="1:17" x14ac:dyDescent="0.25">
      <c r="A152" s="11">
        <v>148</v>
      </c>
      <c r="B152" s="11" t="str">
        <f t="shared" ca="1" si="24"/>
        <v>Severe</v>
      </c>
      <c r="C152" s="11">
        <f t="shared" ca="1" si="25"/>
        <v>0.8</v>
      </c>
      <c r="D152" s="11">
        <f t="shared" ca="1" si="26"/>
        <v>0</v>
      </c>
      <c r="E152" s="11">
        <f t="shared" ca="1" si="27"/>
        <v>1</v>
      </c>
      <c r="F152" s="36">
        <f t="shared" ca="1" si="28"/>
        <v>1.0496482108005525</v>
      </c>
      <c r="G152" s="11">
        <f t="shared" ca="1" si="29"/>
        <v>1.4077757585609939E-2</v>
      </c>
      <c r="H152" s="11">
        <f t="shared" ca="1" si="30"/>
        <v>0</v>
      </c>
      <c r="I152" s="11">
        <f t="shared" ca="1" si="31"/>
        <v>9.2566762270390235E-2</v>
      </c>
      <c r="J152" s="11">
        <f t="shared" ca="1" si="32"/>
        <v>89</v>
      </c>
      <c r="K152" s="11">
        <f t="shared" ca="1" si="33"/>
        <v>116</v>
      </c>
      <c r="L152" s="11">
        <f t="shared" ca="1" si="34"/>
        <v>70</v>
      </c>
      <c r="M152" s="11">
        <f ca="1">MAX(MAX(0,($J152*(1+0.5*Acuity_M))-(Model!$G$24*(1+OTCapPct)*(Cap_Doc*$C152*(1-$G152)))),MAX(0,($J152)-(Model!$G$6*(1+OTCapPct)*(Cap_Nurse*$C152*(1-$H152)))),MAX(0,($J152)-(Model!$G$15*(1+OTCapPct)*(Cap_Tech*$C152*(1-$I152)))),MAX(0,$J152-((BedsCurrent+BedsAdded)*ShiftHours*$F152/BedHr_M)),MAX(0,$J152*Acuity_M-(ImgBase+ImgExpOn*ImgExpAdd)),MAX(0,$J152-(LabBase+LabExpOn*LabExpAdd)))</f>
        <v>10.056998182704902</v>
      </c>
      <c r="N152" s="11">
        <f ca="1">MAX(MAX(0,($K152*(1+0.5*Acuity_E))-(Model!$G$25*(1+OTCapPct)*(Cap_Doc*$C152*(1-$G152)))),MAX(0,($K152)-(Model!$G$7*(1+OTCapPct)*(Cap_Nurse*$C152*(1-$H152)))),MAX(0,($K152)-(Model!$G$16*(1+OTCapPct)*(Cap_Tech*$C152*(1-$I152)))),MAX(0,$K152-((BedsCurrent+BedsAdded)*ShiftHours*$F152/BedHr_E)),MAX(0,$K152*Acuity_E-(ImgBase+ImgExpOn*ImgExpAdd)),MAX(0,$K152-(LabBase+LabExpOn*LabExpAdd)))</f>
        <v>21</v>
      </c>
      <c r="O152" s="11">
        <f ca="1">MAX(MAX(0,($L152*(1+0.5*Acuity_N))-(Model!$G$26*(1+OTCapPct)*(Cap_Doc*$C152*(1-$G152)))),MAX(0,($L152)-(Model!$G$8*(1+OTCapPct)*(Cap_Nurse*$C152*(1-$H152)))),MAX(0,($L152)-(Model!$G$17*(1+OTCapPct)*(Cap_Tech*$C152*(1-$I152)))),MAX(0,$L152-((BedsCurrent+BedsAdded)*ShiftHours*$F152/BedHr_N)),MAX(0,$L152*Acuity_N-(ImgBase+ImgExpOn*ImgExpAdd)),MAX(0,$L152-(LabBase+LabExpOn*LabExpAdd)))</f>
        <v>9.5135985461639052</v>
      </c>
      <c r="P152" s="11">
        <f t="shared" ca="1" si="35"/>
        <v>40.570596728868807</v>
      </c>
      <c r="Q152" s="17">
        <f ca="1">((MIN(OTCapPct*Model!$G$24,MAX(0,(($J152*(1+0.5*Acuity_M))/(Cap_Doc*$C152*(1-$G152)))-Model!$G$24)))*OTCost_Doc)+((MIN(OTCapPct*Model!$G$6,MAX(0,(($J152)/(Cap_Nurse*$C152*(1-$H152)))-Model!$G$6)))*OTCost_Nurse)+((MIN(OTCapPct*Model!$G$15,MAX(0,(($J152)/(Cap_Tech*$C152*(1-$I152)))-Model!$G$15)))*OTCost_Tech)+((MIN(OTCapPct*Model!$G$25,MAX(0,(($K152*(1+0.5*Acuity_E))/(Cap_Doc*$C152*(1-$G152)))-Model!$G$25)))*OTCost_Doc)+((MIN(OTCapPct*Model!$G$7,MAX(0,(($K152)/(Cap_Nurse*$C152*(1-$H152)))-Model!$G$7)))*OTCost_Nurse)+((MIN(OTCapPct*Model!$G$16,MAX(0,(($K152)/(Cap_Tech*$C152*(1-$I152)))-Model!$G$16)))*OTCost_Tech)+((MIN(OTCapPct*Model!$G$26,MAX(0,(($L152*(1+0.5*Acuity_N))/(Cap_Doc*$C152*(1-$G152)))-Model!$G$26)))*OTCost_Doc)+((MIN(OTCapPct*Model!$G$8,MAX(0,(($L152)/(Cap_Nurse*$C152*(1-$H152)))-Model!$G$8)))*OTCost_Nurse)+((MIN(OTCapPct*Model!$G$17,MAX(0,(($L152)/(Cap_Tech*$C152*(1-$I152)))-Model!$G$17)))*OTCost_Tech)</f>
        <v>97133.471094050619</v>
      </c>
    </row>
    <row r="153" spans="1:17" x14ac:dyDescent="0.25">
      <c r="A153" s="11">
        <v>149</v>
      </c>
      <c r="B153" s="11" t="str">
        <f t="shared" ca="1" si="24"/>
        <v>Normal</v>
      </c>
      <c r="C153" s="11">
        <f t="shared" ca="1" si="25"/>
        <v>1</v>
      </c>
      <c r="D153" s="11">
        <f t="shared" ca="1" si="26"/>
        <v>0</v>
      </c>
      <c r="E153" s="11">
        <f t="shared" ca="1" si="27"/>
        <v>3</v>
      </c>
      <c r="F153" s="36">
        <f t="shared" ca="1" si="28"/>
        <v>1.1484182445277058</v>
      </c>
      <c r="G153" s="11">
        <f t="shared" ca="1" si="29"/>
        <v>2.7667576203669258E-2</v>
      </c>
      <c r="H153" s="11">
        <f t="shared" ca="1" si="30"/>
        <v>0.1320194889536454</v>
      </c>
      <c r="I153" s="11">
        <f t="shared" ca="1" si="31"/>
        <v>8.0604991908426571E-2</v>
      </c>
      <c r="J153" s="11">
        <f t="shared" ca="1" si="32"/>
        <v>83</v>
      </c>
      <c r="K153" s="11">
        <f t="shared" ca="1" si="33"/>
        <v>163</v>
      </c>
      <c r="L153" s="11">
        <f t="shared" ca="1" si="34"/>
        <v>63</v>
      </c>
      <c r="M153" s="11">
        <f ca="1">MAX(MAX(0,($J153*(1+0.5*Acuity_M))-(Model!$G$24*(1+OTCapPct)*(Cap_Doc*$C153*(1-$G153)))),MAX(0,($J153)-(Model!$G$6*(1+OTCapPct)*(Cap_Nurse*$C153*(1-$H153)))),MAX(0,($J153)-(Model!$G$15*(1+OTCapPct)*(Cap_Tech*$C153*(1-$I153)))),MAX(0,$J153-((BedsCurrent+BedsAdded)*ShiftHours*$F153/BedHr_M)),MAX(0,$J153*Acuity_M-(ImgBase+ImgExpOn*ImgExpAdd)),MAX(0,$J153-(LabBase+LabExpOn*LabExpAdd)))</f>
        <v>0</v>
      </c>
      <c r="N153" s="11">
        <f ca="1">MAX(MAX(0,($K153*(1+0.5*Acuity_E))-(Model!$G$25*(1+OTCapPct)*(Cap_Doc*$C153*(1-$G153)))),MAX(0,($K153)-(Model!$G$7*(1+OTCapPct)*(Cap_Nurse*$C153*(1-$H153)))),MAX(0,($K153)-(Model!$G$16*(1+OTCapPct)*(Cap_Tech*$C153*(1-$I153)))),MAX(0,$K153-((BedsCurrent+BedsAdded)*ShiftHours*$F153/BedHr_E)),MAX(0,$K153*Acuity_E-(ImgBase+ImgExpOn*ImgExpAdd)),MAX(0,$K153-(LabBase+LabExpOn*LabExpAdd)))</f>
        <v>68</v>
      </c>
      <c r="O153" s="11">
        <f ca="1">MAX(MAX(0,($L153*(1+0.5*Acuity_N))-(Model!$G$26*(1+OTCapPct)*(Cap_Doc*$C153*(1-$G153)))),MAX(0,($L153)-(Model!$G$8*(1+OTCapPct)*(Cap_Nurse*$C153*(1-$H153)))),MAX(0,($L153)-(Model!$G$17*(1+OTCapPct)*(Cap_Tech*$C153*(1-$I153)))),MAX(0,$L153-((BedsCurrent+BedsAdded)*ShiftHours*$F153/BedHr_N)),MAX(0,$L153*Acuity_N-(ImgBase+ImgExpOn*ImgExpAdd)),MAX(0,$L153-(LabBase+LabExpOn*LabExpAdd)))</f>
        <v>0</v>
      </c>
      <c r="P153" s="11">
        <f t="shared" ca="1" si="35"/>
        <v>68</v>
      </c>
      <c r="Q153" s="17">
        <f ca="1">((MIN(OTCapPct*Model!$G$24,MAX(0,(($J153*(1+0.5*Acuity_M))/(Cap_Doc*$C153*(1-$G153)))-Model!$G$24)))*OTCost_Doc)+((MIN(OTCapPct*Model!$G$6,MAX(0,(($J153)/(Cap_Nurse*$C153*(1-$H153)))-Model!$G$6)))*OTCost_Nurse)+((MIN(OTCapPct*Model!$G$15,MAX(0,(($J153)/(Cap_Tech*$C153*(1-$I153)))-Model!$G$15)))*OTCost_Tech)+((MIN(OTCapPct*Model!$G$25,MAX(0,(($K153*(1+0.5*Acuity_E))/(Cap_Doc*$C153*(1-$G153)))-Model!$G$25)))*OTCost_Doc)+((MIN(OTCapPct*Model!$G$7,MAX(0,(($K153)/(Cap_Nurse*$C153*(1-$H153)))-Model!$G$7)))*OTCost_Nurse)+((MIN(OTCapPct*Model!$G$16,MAX(0,(($K153)/(Cap_Tech*$C153*(1-$I153)))-Model!$G$16)))*OTCost_Tech)+((MIN(OTCapPct*Model!$G$26,MAX(0,(($L153*(1+0.5*Acuity_N))/(Cap_Doc*$C153*(1-$G153)))-Model!$G$26)))*OTCost_Doc)+((MIN(OTCapPct*Model!$G$8,MAX(0,(($L153)/(Cap_Nurse*$C153*(1-$H153)))-Model!$G$8)))*OTCost_Nurse)+((MIN(OTCapPct*Model!$G$17,MAX(0,(($L153)/(Cap_Tech*$C153*(1-$I153)))-Model!$G$17)))*OTCost_Tech)</f>
        <v>56980.327735299841</v>
      </c>
    </row>
    <row r="154" spans="1:17" x14ac:dyDescent="0.25">
      <c r="A154" s="11">
        <v>150</v>
      </c>
      <c r="B154" s="11" t="str">
        <f t="shared" ca="1" si="24"/>
        <v>Normal</v>
      </c>
      <c r="C154" s="11">
        <f t="shared" ca="1" si="25"/>
        <v>1</v>
      </c>
      <c r="D154" s="11">
        <f t="shared" ca="1" si="26"/>
        <v>0</v>
      </c>
      <c r="E154" s="11">
        <f t="shared" ca="1" si="27"/>
        <v>1</v>
      </c>
      <c r="F154" s="36">
        <f t="shared" ca="1" si="28"/>
        <v>0.91240296414186828</v>
      </c>
      <c r="G154" s="11">
        <f t="shared" ca="1" si="29"/>
        <v>6.5884851117346904E-2</v>
      </c>
      <c r="H154" s="11">
        <f t="shared" ca="1" si="30"/>
        <v>1.8750179610704382E-2</v>
      </c>
      <c r="I154" s="11">
        <f t="shared" ca="1" si="31"/>
        <v>1.0331320042654843E-2</v>
      </c>
      <c r="J154" s="11">
        <f t="shared" ca="1" si="32"/>
        <v>85</v>
      </c>
      <c r="K154" s="11">
        <f t="shared" ca="1" si="33"/>
        <v>107</v>
      </c>
      <c r="L154" s="11">
        <f t="shared" ca="1" si="34"/>
        <v>71</v>
      </c>
      <c r="M154" s="11">
        <f ca="1">MAX(MAX(0,($J154*(1+0.5*Acuity_M))-(Model!$G$24*(1+OTCapPct)*(Cap_Doc*$C154*(1-$G154)))),MAX(0,($J154)-(Model!$G$6*(1+OTCapPct)*(Cap_Nurse*$C154*(1-$H154)))),MAX(0,($J154)-(Model!$G$15*(1+OTCapPct)*(Cap_Tech*$C154*(1-$I154)))),MAX(0,$J154-((BedsCurrent+BedsAdded)*ShiftHours*$F154/BedHr_M)),MAX(0,$J154*Acuity_M-(ImgBase+ImgExpOn*ImgExpAdd)),MAX(0,$J154-(LabBase+LabExpOn*LabExpAdd)))</f>
        <v>0</v>
      </c>
      <c r="N154" s="11">
        <f ca="1">MAX(MAX(0,($K154*(1+0.5*Acuity_E))-(Model!$G$25*(1+OTCapPct)*(Cap_Doc*$C154*(1-$G154)))),MAX(0,($K154)-(Model!$G$7*(1+OTCapPct)*(Cap_Nurse*$C154*(1-$H154)))),MAX(0,($K154)-(Model!$G$16*(1+OTCapPct)*(Cap_Tech*$C154*(1-$I154)))),MAX(0,$K154-((BedsCurrent+BedsAdded)*ShiftHours*$F154/BedHr_E)),MAX(0,$K154*Acuity_E-(ImgBase+ImgExpOn*ImgExpAdd)),MAX(0,$K154-(LabBase+LabExpOn*LabExpAdd)))</f>
        <v>12</v>
      </c>
      <c r="O154" s="11">
        <f ca="1">MAX(MAX(0,($L154*(1+0.5*Acuity_N))-(Model!$G$26*(1+OTCapPct)*(Cap_Doc*$C154*(1-$G154)))),MAX(0,($L154)-(Model!$G$8*(1+OTCapPct)*(Cap_Nurse*$C154*(1-$H154)))),MAX(0,($L154)-(Model!$G$17*(1+OTCapPct)*(Cap_Tech*$C154*(1-$I154)))),MAX(0,$L154-((BedsCurrent+BedsAdded)*ShiftHours*$F154/BedHr_N)),MAX(0,$L154*Acuity_N-(ImgBase+ImgExpOn*ImgExpAdd)),MAX(0,$L154-(LabBase+LabExpOn*LabExpAdd)))</f>
        <v>0</v>
      </c>
      <c r="P154" s="11">
        <f t="shared" ca="1" si="35"/>
        <v>12</v>
      </c>
      <c r="Q154" s="17">
        <f ca="1">((MIN(OTCapPct*Model!$G$24,MAX(0,(($J154*(1+0.5*Acuity_M))/(Cap_Doc*$C154*(1-$G154)))-Model!$G$24)))*OTCost_Doc)+((MIN(OTCapPct*Model!$G$6,MAX(0,(($J154)/(Cap_Nurse*$C154*(1-$H154)))-Model!$G$6)))*OTCost_Nurse)+((MIN(OTCapPct*Model!$G$15,MAX(0,(($J154)/(Cap_Tech*$C154*(1-$I154)))-Model!$G$15)))*OTCost_Tech)+((MIN(OTCapPct*Model!$G$25,MAX(0,(($K154*(1+0.5*Acuity_E))/(Cap_Doc*$C154*(1-$G154)))-Model!$G$25)))*OTCost_Doc)+((MIN(OTCapPct*Model!$G$7,MAX(0,(($K154)/(Cap_Nurse*$C154*(1-$H154)))-Model!$G$7)))*OTCost_Nurse)+((MIN(OTCapPct*Model!$G$16,MAX(0,(($K154)/(Cap_Tech*$C154*(1-$I154)))-Model!$G$16)))*OTCost_Tech)+((MIN(OTCapPct*Model!$G$26,MAX(0,(($L154*(1+0.5*Acuity_N))/(Cap_Doc*$C154*(1-$G154)))-Model!$G$26)))*OTCost_Doc)+((MIN(OTCapPct*Model!$G$8,MAX(0,(($L154)/(Cap_Nurse*$C154*(1-$H154)))-Model!$G$8)))*OTCost_Nurse)+((MIN(OTCapPct*Model!$G$17,MAX(0,(($L154)/(Cap_Tech*$C154*(1-$I154)))-Model!$G$17)))*OTCost_Tech)</f>
        <v>24862.47152819029</v>
      </c>
    </row>
    <row r="155" spans="1:17" x14ac:dyDescent="0.25">
      <c r="A155" s="11">
        <v>151</v>
      </c>
      <c r="B155" s="11" t="str">
        <f t="shared" ca="1" si="24"/>
        <v>Complex</v>
      </c>
      <c r="C155" s="11">
        <f t="shared" ca="1" si="25"/>
        <v>0.9</v>
      </c>
      <c r="D155" s="11">
        <f t="shared" ca="1" si="26"/>
        <v>0</v>
      </c>
      <c r="E155" s="11">
        <f t="shared" ca="1" si="27"/>
        <v>2</v>
      </c>
      <c r="F155" s="36">
        <f t="shared" ca="1" si="28"/>
        <v>0.89719429267435824</v>
      </c>
      <c r="G155" s="11">
        <f t="shared" ca="1" si="29"/>
        <v>0.11124912460946748</v>
      </c>
      <c r="H155" s="11">
        <f t="shared" ca="1" si="30"/>
        <v>2.3343188088088607E-2</v>
      </c>
      <c r="I155" s="11">
        <f t="shared" ca="1" si="31"/>
        <v>0</v>
      </c>
      <c r="J155" s="11">
        <f t="shared" ca="1" si="32"/>
        <v>64</v>
      </c>
      <c r="K155" s="11">
        <f t="shared" ca="1" si="33"/>
        <v>145</v>
      </c>
      <c r="L155" s="11">
        <f t="shared" ca="1" si="34"/>
        <v>69</v>
      </c>
      <c r="M155" s="11">
        <f ca="1">MAX(MAX(0,($J155*(1+0.5*Acuity_M))-(Model!$G$24*(1+OTCapPct)*(Cap_Doc*$C155*(1-$G155)))),MAX(0,($J155)-(Model!$G$6*(1+OTCapPct)*(Cap_Nurse*$C155*(1-$H155)))),MAX(0,($J155)-(Model!$G$15*(1+OTCapPct)*(Cap_Tech*$C155*(1-$I155)))),MAX(0,$J155-((BedsCurrent+BedsAdded)*ShiftHours*$F155/BedHr_M)),MAX(0,$J155*Acuity_M-(ImgBase+ImgExpOn*ImgExpAdd)),MAX(0,$J155-(LabBase+LabExpOn*LabExpAdd)))</f>
        <v>0</v>
      </c>
      <c r="N155" s="11">
        <f ca="1">MAX(MAX(0,($K155*(1+0.5*Acuity_E))-(Model!$G$25*(1+OTCapPct)*(Cap_Doc*$C155*(1-$G155)))),MAX(0,($K155)-(Model!$G$7*(1+OTCapPct)*(Cap_Nurse*$C155*(1-$H155)))),MAX(0,($K155)-(Model!$G$16*(1+OTCapPct)*(Cap_Tech*$C155*(1-$I155)))),MAX(0,$K155-((BedsCurrent+BedsAdded)*ShiftHours*$F155/BedHr_E)),MAX(0,$K155*Acuity_E-(ImgBase+ImgExpOn*ImgExpAdd)),MAX(0,$K155-(LabBase+LabExpOn*LabExpAdd)))</f>
        <v>50</v>
      </c>
      <c r="O155" s="11">
        <f ca="1">MAX(MAX(0,($L155*(1+0.5*Acuity_N))-(Model!$G$26*(1+OTCapPct)*(Cap_Doc*$C155*(1-$G155)))),MAX(0,($L155)-(Model!$G$8*(1+OTCapPct)*(Cap_Nurse*$C155*(1-$H155)))),MAX(0,($L155)-(Model!$G$17*(1+OTCapPct)*(Cap_Tech*$C155*(1-$I155)))),MAX(0,$L155-((BedsCurrent+BedsAdded)*ShiftHours*$F155/BedHr_N)),MAX(0,$L155*Acuity_N-(ImgBase+ImgExpOn*ImgExpAdd)),MAX(0,$L155-(LabBase+LabExpOn*LabExpAdd)))</f>
        <v>7.3611790933668573</v>
      </c>
      <c r="P155" s="11">
        <f t="shared" ca="1" si="35"/>
        <v>57.361179093366857</v>
      </c>
      <c r="Q155" s="17">
        <f ca="1">((MIN(OTCapPct*Model!$G$24,MAX(0,(($J155*(1+0.5*Acuity_M))/(Cap_Doc*$C155*(1-$G155)))-Model!$G$24)))*OTCost_Doc)+((MIN(OTCapPct*Model!$G$6,MAX(0,(($J155)/(Cap_Nurse*$C155*(1-$H155)))-Model!$G$6)))*OTCost_Nurse)+((MIN(OTCapPct*Model!$G$15,MAX(0,(($J155)/(Cap_Tech*$C155*(1-$I155)))-Model!$G$15)))*OTCost_Tech)+((MIN(OTCapPct*Model!$G$25,MAX(0,(($K155*(1+0.5*Acuity_E))/(Cap_Doc*$C155*(1-$G155)))-Model!$G$25)))*OTCost_Doc)+((MIN(OTCapPct*Model!$G$7,MAX(0,(($K155)/(Cap_Nurse*$C155*(1-$H155)))-Model!$G$7)))*OTCost_Nurse)+((MIN(OTCapPct*Model!$G$16,MAX(0,(($K155)/(Cap_Tech*$C155*(1-$I155)))-Model!$G$16)))*OTCost_Tech)+((MIN(OTCapPct*Model!$G$26,MAX(0,(($L155*(1+0.5*Acuity_N))/(Cap_Doc*$C155*(1-$G155)))-Model!$G$26)))*OTCost_Doc)+((MIN(OTCapPct*Model!$G$8,MAX(0,(($L155)/(Cap_Nurse*$C155*(1-$H155)))-Model!$G$8)))*OTCost_Nurse)+((MIN(OTCapPct*Model!$G$17,MAX(0,(($L155)/(Cap_Tech*$C155*(1-$I155)))-Model!$G$17)))*OTCost_Tech)</f>
        <v>61895.33802588511</v>
      </c>
    </row>
    <row r="156" spans="1:17" x14ac:dyDescent="0.25">
      <c r="A156" s="11">
        <v>152</v>
      </c>
      <c r="B156" s="11" t="str">
        <f t="shared" ca="1" si="24"/>
        <v>Normal</v>
      </c>
      <c r="C156" s="11">
        <f t="shared" ca="1" si="25"/>
        <v>1</v>
      </c>
      <c r="D156" s="11">
        <f t="shared" ca="1" si="26"/>
        <v>0</v>
      </c>
      <c r="E156" s="11">
        <f t="shared" ca="1" si="27"/>
        <v>1</v>
      </c>
      <c r="F156" s="36">
        <f t="shared" ca="1" si="28"/>
        <v>0.869811124225224</v>
      </c>
      <c r="G156" s="11">
        <f t="shared" ca="1" si="29"/>
        <v>8.4495955388600053E-2</v>
      </c>
      <c r="H156" s="11">
        <f t="shared" ca="1" si="30"/>
        <v>5.2235308890186676E-2</v>
      </c>
      <c r="I156" s="11">
        <f t="shared" ca="1" si="31"/>
        <v>0</v>
      </c>
      <c r="J156" s="11">
        <f t="shared" ca="1" si="32"/>
        <v>97</v>
      </c>
      <c r="K156" s="11">
        <f t="shared" ca="1" si="33"/>
        <v>99</v>
      </c>
      <c r="L156" s="11">
        <f t="shared" ca="1" si="34"/>
        <v>57</v>
      </c>
      <c r="M156" s="11">
        <f ca="1">MAX(MAX(0,($J156*(1+0.5*Acuity_M))-(Model!$G$24*(1+OTCapPct)*(Cap_Doc*$C156*(1-$G156)))),MAX(0,($J156)-(Model!$G$6*(1+OTCapPct)*(Cap_Nurse*$C156*(1-$H156)))),MAX(0,($J156)-(Model!$G$15*(1+OTCapPct)*(Cap_Tech*$C156*(1-$I156)))),MAX(0,$J156-((BedsCurrent+BedsAdded)*ShiftHours*$F156/BedHr_M)),MAX(0,$J156*Acuity_M-(ImgBase+ImgExpOn*ImgExpAdd)),MAX(0,$J156-(LabBase+LabExpOn*LabExpAdd)))</f>
        <v>4.6757949812175212</v>
      </c>
      <c r="N156" s="11">
        <f ca="1">MAX(MAX(0,($K156*(1+0.5*Acuity_E))-(Model!$G$25*(1+OTCapPct)*(Cap_Doc*$C156*(1-$G156)))),MAX(0,($K156)-(Model!$G$7*(1+OTCapPct)*(Cap_Nurse*$C156*(1-$H156)))),MAX(0,($K156)-(Model!$G$16*(1+OTCapPct)*(Cap_Tech*$C156*(1-$I156)))),MAX(0,$K156-((BedsCurrent+BedsAdded)*ShiftHours*$F156/BedHr_E)),MAX(0,$K156*Acuity_E-(ImgBase+ImgExpOn*ImgExpAdd)),MAX(0,$K156-(LabBase+LabExpOn*LabExpAdd)))</f>
        <v>4.3645496842956248</v>
      </c>
      <c r="O156" s="11">
        <f ca="1">MAX(MAX(0,($L156*(1+0.5*Acuity_N))-(Model!$G$26*(1+OTCapPct)*(Cap_Doc*$C156*(1-$G156)))),MAX(0,($L156)-(Model!$G$8*(1+OTCapPct)*(Cap_Nurse*$C156*(1-$H156)))),MAX(0,($L156)-(Model!$G$17*(1+OTCapPct)*(Cap_Tech*$C156*(1-$I156)))),MAX(0,$L156-((BedsCurrent+BedsAdded)*ShiftHours*$F156/BedHr_N)),MAX(0,$L156*Acuity_N-(ImgBase+ImgExpOn*ImgExpAdd)),MAX(0,$L156-(LabBase+LabExpOn*LabExpAdd)))</f>
        <v>0</v>
      </c>
      <c r="P156" s="11">
        <f t="shared" ca="1" si="35"/>
        <v>9.0403446655131461</v>
      </c>
      <c r="Q156" s="17">
        <f ca="1">((MIN(OTCapPct*Model!$G$24,MAX(0,(($J156*(1+0.5*Acuity_M))/(Cap_Doc*$C156*(1-$G156)))-Model!$G$24)))*OTCost_Doc)+((MIN(OTCapPct*Model!$G$6,MAX(0,(($J156)/(Cap_Nurse*$C156*(1-$H156)))-Model!$G$6)))*OTCost_Nurse)+((MIN(OTCapPct*Model!$G$15,MAX(0,(($J156)/(Cap_Tech*$C156*(1-$I156)))-Model!$G$15)))*OTCost_Tech)+((MIN(OTCapPct*Model!$G$25,MAX(0,(($K156*(1+0.5*Acuity_E))/(Cap_Doc*$C156*(1-$G156)))-Model!$G$25)))*OTCost_Doc)+((MIN(OTCapPct*Model!$G$7,MAX(0,(($K156)/(Cap_Nurse*$C156*(1-$H156)))-Model!$G$7)))*OTCost_Nurse)+((MIN(OTCapPct*Model!$G$16,MAX(0,(($K156)/(Cap_Tech*$C156*(1-$I156)))-Model!$G$16)))*OTCost_Tech)+((MIN(OTCapPct*Model!$G$26,MAX(0,(($L156*(1+0.5*Acuity_N))/(Cap_Doc*$C156*(1-$G156)))-Model!$G$26)))*OTCost_Doc)+((MIN(OTCapPct*Model!$G$8,MAX(0,(($L156)/(Cap_Nurse*$C156*(1-$H156)))-Model!$G$8)))*OTCost_Nurse)+((MIN(OTCapPct*Model!$G$17,MAX(0,(($L156)/(Cap_Tech*$C156*(1-$I156)))-Model!$G$17)))*OTCost_Tech)</f>
        <v>27979.126153727146</v>
      </c>
    </row>
    <row r="157" spans="1:17" x14ac:dyDescent="0.25">
      <c r="A157" s="11">
        <v>153</v>
      </c>
      <c r="B157" s="11" t="str">
        <f t="shared" ca="1" si="24"/>
        <v>Normal</v>
      </c>
      <c r="C157" s="11">
        <f t="shared" ca="1" si="25"/>
        <v>1</v>
      </c>
      <c r="D157" s="11">
        <f t="shared" ca="1" si="26"/>
        <v>0</v>
      </c>
      <c r="E157" s="11">
        <f t="shared" ca="1" si="27"/>
        <v>2</v>
      </c>
      <c r="F157" s="36">
        <f t="shared" ca="1" si="28"/>
        <v>0.98658664149152808</v>
      </c>
      <c r="G157" s="11">
        <f t="shared" ca="1" si="29"/>
        <v>9.427445659833647E-2</v>
      </c>
      <c r="H157" s="11">
        <f t="shared" ca="1" si="30"/>
        <v>0</v>
      </c>
      <c r="I157" s="11">
        <f t="shared" ca="1" si="31"/>
        <v>0</v>
      </c>
      <c r="J157" s="11">
        <f t="shared" ca="1" si="32"/>
        <v>74</v>
      </c>
      <c r="K157" s="11">
        <f t="shared" ca="1" si="33"/>
        <v>145</v>
      </c>
      <c r="L157" s="11">
        <f t="shared" ca="1" si="34"/>
        <v>82</v>
      </c>
      <c r="M157" s="11">
        <f ca="1">MAX(MAX(0,($J157*(1+0.5*Acuity_M))-(Model!$G$24*(1+OTCapPct)*(Cap_Doc*$C157*(1-$G157)))),MAX(0,($J157)-(Model!$G$6*(1+OTCapPct)*(Cap_Nurse*$C157*(1-$H157)))),MAX(0,($J157)-(Model!$G$15*(1+OTCapPct)*(Cap_Tech*$C157*(1-$I157)))),MAX(0,$J157-((BedsCurrent+BedsAdded)*ShiftHours*$F157/BedHr_M)),MAX(0,$J157*Acuity_M-(ImgBase+ImgExpOn*ImgExpAdd)),MAX(0,$J157-(LabBase+LabExpOn*LabExpAdd)))</f>
        <v>0</v>
      </c>
      <c r="N157" s="11">
        <f ca="1">MAX(MAX(0,($K157*(1+0.5*Acuity_E))-(Model!$G$25*(1+OTCapPct)*(Cap_Doc*$C157*(1-$G157)))),MAX(0,($K157)-(Model!$G$7*(1+OTCapPct)*(Cap_Nurse*$C157*(1-$H157)))),MAX(0,($K157)-(Model!$G$16*(1+OTCapPct)*(Cap_Tech*$C157*(1-$I157)))),MAX(0,$K157-((BedsCurrent+BedsAdded)*ShiftHours*$F157/BedHr_E)),MAX(0,$K157*Acuity_E-(ImgBase+ImgExpOn*ImgExpAdd)),MAX(0,$K157-(LabBase+LabExpOn*LabExpAdd)))</f>
        <v>50</v>
      </c>
      <c r="O157" s="11">
        <f ca="1">MAX(MAX(0,($L157*(1+0.5*Acuity_N))-(Model!$G$26*(1+OTCapPct)*(Cap_Doc*$C157*(1-$G157)))),MAX(0,($L157)-(Model!$G$8*(1+OTCapPct)*(Cap_Nurse*$C157*(1-$H157)))),MAX(0,($L157)-(Model!$G$17*(1+OTCapPct)*(Cap_Tech*$C157*(1-$I157)))),MAX(0,$L157-((BedsCurrent+BedsAdded)*ShiftHours*$F157/BedHr_N)),MAX(0,$L157*Acuity_N-(ImgBase+ImgExpOn*ImgExpAdd)),MAX(0,$L157-(LabBase+LabExpOn*LabExpAdd)))</f>
        <v>12.784701093850273</v>
      </c>
      <c r="P157" s="11">
        <f t="shared" ca="1" si="35"/>
        <v>62.784701093850273</v>
      </c>
      <c r="Q157" s="17">
        <f ca="1">((MIN(OTCapPct*Model!$G$24,MAX(0,(($J157*(1+0.5*Acuity_M))/(Cap_Doc*$C157*(1-$G157)))-Model!$G$24)))*OTCost_Doc)+((MIN(OTCapPct*Model!$G$6,MAX(0,(($J157)/(Cap_Nurse*$C157*(1-$H157)))-Model!$G$6)))*OTCost_Nurse)+((MIN(OTCapPct*Model!$G$15,MAX(0,(($J157)/(Cap_Tech*$C157*(1-$I157)))-Model!$G$15)))*OTCost_Tech)+((MIN(OTCapPct*Model!$G$25,MAX(0,(($K157*(1+0.5*Acuity_E))/(Cap_Doc*$C157*(1-$G157)))-Model!$G$25)))*OTCost_Doc)+((MIN(OTCapPct*Model!$G$7,MAX(0,(($K157)/(Cap_Nurse*$C157*(1-$H157)))-Model!$G$7)))*OTCost_Nurse)+((MIN(OTCapPct*Model!$G$16,MAX(0,(($K157)/(Cap_Tech*$C157*(1-$I157)))-Model!$G$16)))*OTCost_Tech)+((MIN(OTCapPct*Model!$G$26,MAX(0,(($L157*(1+0.5*Acuity_N))/(Cap_Doc*$C157*(1-$G157)))-Model!$G$26)))*OTCost_Doc)+((MIN(OTCapPct*Model!$G$8,MAX(0,(($L157)/(Cap_Nurse*$C157*(1-$H157)))-Model!$G$8)))*OTCost_Nurse)+((MIN(OTCapPct*Model!$G$17,MAX(0,(($L157)/(Cap_Tech*$C157*(1-$I157)))-Model!$G$17)))*OTCost_Tech)</f>
        <v>60767.293371928165</v>
      </c>
    </row>
    <row r="158" spans="1:17" x14ac:dyDescent="0.25">
      <c r="A158" s="11">
        <v>154</v>
      </c>
      <c r="B158" s="11" t="str">
        <f t="shared" ca="1" si="24"/>
        <v>Normal</v>
      </c>
      <c r="C158" s="11">
        <f t="shared" ca="1" si="25"/>
        <v>1</v>
      </c>
      <c r="D158" s="11">
        <f t="shared" ca="1" si="26"/>
        <v>0</v>
      </c>
      <c r="E158" s="11">
        <f t="shared" ca="1" si="27"/>
        <v>1</v>
      </c>
      <c r="F158" s="36">
        <f t="shared" ca="1" si="28"/>
        <v>0.92067244588219399</v>
      </c>
      <c r="G158" s="11">
        <f t="shared" ca="1" si="29"/>
        <v>2.6256208640983682E-2</v>
      </c>
      <c r="H158" s="11">
        <f t="shared" ca="1" si="30"/>
        <v>0.12234010751410582</v>
      </c>
      <c r="I158" s="11">
        <f t="shared" ca="1" si="31"/>
        <v>0</v>
      </c>
      <c r="J158" s="11">
        <f t="shared" ca="1" si="32"/>
        <v>112</v>
      </c>
      <c r="K158" s="11">
        <f t="shared" ca="1" si="33"/>
        <v>132</v>
      </c>
      <c r="L158" s="11">
        <f t="shared" ca="1" si="34"/>
        <v>77</v>
      </c>
      <c r="M158" s="11">
        <f ca="1">MAX(MAX(0,($J158*(1+0.5*Acuity_M))-(Model!$G$24*(1+OTCapPct)*(Cap_Doc*$C158*(1-$G158)))),MAX(0,($J158)-(Model!$G$6*(1+OTCapPct)*(Cap_Nurse*$C158*(1-$H158)))),MAX(0,($J158)-(Model!$G$15*(1+OTCapPct)*(Cap_Tech*$C158*(1-$I158)))),MAX(0,$J158-((BedsCurrent+BedsAdded)*ShiftHours*$F158/BedHr_M)),MAX(0,$J158*Acuity_M-(ImgBase+ImgExpOn*ImgExpAdd)),MAX(0,$J158-(LabBase+LabExpOn*LabExpAdd)))</f>
        <v>19.845711288981107</v>
      </c>
      <c r="N158" s="11">
        <f ca="1">MAX(MAX(0,($K158*(1+0.5*Acuity_E))-(Model!$G$25*(1+OTCapPct)*(Cap_Doc*$C158*(1-$G158)))),MAX(0,($K158)-(Model!$G$7*(1+OTCapPct)*(Cap_Nurse*$C158*(1-$H158)))),MAX(0,($K158)-(Model!$G$16*(1+OTCapPct)*(Cap_Tech*$C158*(1-$I158)))),MAX(0,$K158-((BedsCurrent+BedsAdded)*ShiftHours*$F158/BedHr_E)),MAX(0,$K158*Acuity_E-(ImgBase+ImgExpOn*ImgExpAdd)),MAX(0,$K158-(LabBase+LabExpOn*LabExpAdd)))</f>
        <v>37</v>
      </c>
      <c r="O158" s="11">
        <f ca="1">MAX(MAX(0,($L158*(1+0.5*Acuity_N))-(Model!$G$26*(1+OTCapPct)*(Cap_Doc*$C158*(1-$G158)))),MAX(0,($L158)-(Model!$G$8*(1+OTCapPct)*(Cap_Nurse*$C158*(1-$H158)))),MAX(0,($L158)-(Model!$G$17*(1+OTCapPct)*(Cap_Tech*$C158*(1-$I158)))),MAX(0,$L158-((BedsCurrent+BedsAdded)*ShiftHours*$F158/BedHr_N)),MAX(0,$L158*Acuity_N-(ImgBase+ImgExpOn*ImgExpAdd)),MAX(0,$L158-(LabBase+LabExpOn*LabExpAdd)))</f>
        <v>0.9130587776885335</v>
      </c>
      <c r="P158" s="11">
        <f t="shared" ca="1" si="35"/>
        <v>57.758770066669641</v>
      </c>
      <c r="Q158" s="17">
        <f ca="1">((MIN(OTCapPct*Model!$G$24,MAX(0,(($J158*(1+0.5*Acuity_M))/(Cap_Doc*$C158*(1-$G158)))-Model!$G$24)))*OTCost_Doc)+((MIN(OTCapPct*Model!$G$6,MAX(0,(($J158)/(Cap_Nurse*$C158*(1-$H158)))-Model!$G$6)))*OTCost_Nurse)+((MIN(OTCapPct*Model!$G$15,MAX(0,(($J158)/(Cap_Tech*$C158*(1-$I158)))-Model!$G$15)))*OTCost_Tech)+((MIN(OTCapPct*Model!$G$25,MAX(0,(($K158*(1+0.5*Acuity_E))/(Cap_Doc*$C158*(1-$G158)))-Model!$G$25)))*OTCost_Doc)+((MIN(OTCapPct*Model!$G$7,MAX(0,(($K158)/(Cap_Nurse*$C158*(1-$H158)))-Model!$G$7)))*OTCost_Nurse)+((MIN(OTCapPct*Model!$G$16,MAX(0,(($K158)/(Cap_Tech*$C158*(1-$I158)))-Model!$G$16)))*OTCost_Tech)+((MIN(OTCapPct*Model!$G$26,MAX(0,(($L158*(1+0.5*Acuity_N))/(Cap_Doc*$C158*(1-$G158)))-Model!$G$26)))*OTCost_Doc)+((MIN(OTCapPct*Model!$G$8,MAX(0,(($L158)/(Cap_Nurse*$C158*(1-$H158)))-Model!$G$8)))*OTCost_Nurse)+((MIN(OTCapPct*Model!$G$17,MAX(0,(($L158)/(Cap_Tech*$C158*(1-$I158)))-Model!$G$17)))*OTCost_Tech)</f>
        <v>93592.049693694353</v>
      </c>
    </row>
    <row r="159" spans="1:17" x14ac:dyDescent="0.25">
      <c r="A159" s="11">
        <v>155</v>
      </c>
      <c r="B159" s="11" t="str">
        <f t="shared" ca="1" si="24"/>
        <v>Normal</v>
      </c>
      <c r="C159" s="11">
        <f t="shared" ca="1" si="25"/>
        <v>1</v>
      </c>
      <c r="D159" s="11">
        <f t="shared" ca="1" si="26"/>
        <v>0</v>
      </c>
      <c r="E159" s="11">
        <f t="shared" ca="1" si="27"/>
        <v>3</v>
      </c>
      <c r="F159" s="36">
        <f t="shared" ca="1" si="28"/>
        <v>1.0260240709040036</v>
      </c>
      <c r="G159" s="11">
        <f t="shared" ca="1" si="29"/>
        <v>0</v>
      </c>
      <c r="H159" s="11">
        <f t="shared" ca="1" si="30"/>
        <v>2.7628675059372214E-2</v>
      </c>
      <c r="I159" s="11">
        <f t="shared" ca="1" si="31"/>
        <v>1.9987425547433418E-2</v>
      </c>
      <c r="J159" s="11">
        <f t="shared" ca="1" si="32"/>
        <v>87</v>
      </c>
      <c r="K159" s="11">
        <f t="shared" ca="1" si="33"/>
        <v>118</v>
      </c>
      <c r="L159" s="11">
        <f t="shared" ca="1" si="34"/>
        <v>62</v>
      </c>
      <c r="M159" s="11">
        <f ca="1">MAX(MAX(0,($J159*(1+0.5*Acuity_M))-(Model!$G$24*(1+OTCapPct)*(Cap_Doc*$C159*(1-$G159)))),MAX(0,($J159)-(Model!$G$6*(1+OTCapPct)*(Cap_Nurse*$C159*(1-$H159)))),MAX(0,($J159)-(Model!$G$15*(1+OTCapPct)*(Cap_Tech*$C159*(1-$I159)))),MAX(0,$J159-((BedsCurrent+BedsAdded)*ShiftHours*$F159/BedHr_M)),MAX(0,$J159*Acuity_M-(ImgBase+ImgExpOn*ImgExpAdd)),MAX(0,$J159-(LabBase+LabExpOn*LabExpAdd)))</f>
        <v>0</v>
      </c>
      <c r="N159" s="11">
        <f ca="1">MAX(MAX(0,($K159*(1+0.5*Acuity_E))-(Model!$G$25*(1+OTCapPct)*(Cap_Doc*$C159*(1-$G159)))),MAX(0,($K159)-(Model!$G$7*(1+OTCapPct)*(Cap_Nurse*$C159*(1-$H159)))),MAX(0,($K159)-(Model!$G$16*(1+OTCapPct)*(Cap_Tech*$C159*(1-$I159)))),MAX(0,$K159-((BedsCurrent+BedsAdded)*ShiftHours*$F159/BedHr_E)),MAX(0,$K159*Acuity_E-(ImgBase+ImgExpOn*ImgExpAdd)),MAX(0,$K159-(LabBase+LabExpOn*LabExpAdd)))</f>
        <v>23</v>
      </c>
      <c r="O159" s="11">
        <f ca="1">MAX(MAX(0,($L159*(1+0.5*Acuity_N))-(Model!$G$26*(1+OTCapPct)*(Cap_Doc*$C159*(1-$G159)))),MAX(0,($L159)-(Model!$G$8*(1+OTCapPct)*(Cap_Nurse*$C159*(1-$H159)))),MAX(0,($L159)-(Model!$G$17*(1+OTCapPct)*(Cap_Tech*$C159*(1-$I159)))),MAX(0,$L159-((BedsCurrent+BedsAdded)*ShiftHours*$F159/BedHr_N)),MAX(0,$L159*Acuity_N-(ImgBase+ImgExpOn*ImgExpAdd)),MAX(0,$L159-(LabBase+LabExpOn*LabExpAdd)))</f>
        <v>0</v>
      </c>
      <c r="P159" s="11">
        <f t="shared" ca="1" si="35"/>
        <v>23</v>
      </c>
      <c r="Q159" s="17">
        <f ca="1">((MIN(OTCapPct*Model!$G$24,MAX(0,(($J159*(1+0.5*Acuity_M))/(Cap_Doc*$C159*(1-$G159)))-Model!$G$24)))*OTCost_Doc)+((MIN(OTCapPct*Model!$G$6,MAX(0,(($J159)/(Cap_Nurse*$C159*(1-$H159)))-Model!$G$6)))*OTCost_Nurse)+((MIN(OTCapPct*Model!$G$15,MAX(0,(($J159)/(Cap_Tech*$C159*(1-$I159)))-Model!$G$15)))*OTCost_Tech)+((MIN(OTCapPct*Model!$G$25,MAX(0,(($K159*(1+0.5*Acuity_E))/(Cap_Doc*$C159*(1-$G159)))-Model!$G$25)))*OTCost_Doc)+((MIN(OTCapPct*Model!$G$7,MAX(0,(($K159)/(Cap_Nurse*$C159*(1-$H159)))-Model!$G$7)))*OTCost_Nurse)+((MIN(OTCapPct*Model!$G$16,MAX(0,(($K159)/(Cap_Tech*$C159*(1-$I159)))-Model!$G$16)))*OTCost_Tech)+((MIN(OTCapPct*Model!$G$26,MAX(0,(($L159*(1+0.5*Acuity_N))/(Cap_Doc*$C159*(1-$G159)))-Model!$G$26)))*OTCost_Doc)+((MIN(OTCapPct*Model!$G$8,MAX(0,(($L159)/(Cap_Nurse*$C159*(1-$H159)))-Model!$G$8)))*OTCost_Nurse)+((MIN(OTCapPct*Model!$G$17,MAX(0,(($L159)/(Cap_Tech*$C159*(1-$I159)))-Model!$G$17)))*OTCost_Tech)</f>
        <v>15082.041897846952</v>
      </c>
    </row>
    <row r="160" spans="1:17" x14ac:dyDescent="0.25">
      <c r="A160" s="11">
        <v>156</v>
      </c>
      <c r="B160" s="11" t="str">
        <f t="shared" ca="1" si="24"/>
        <v>Normal</v>
      </c>
      <c r="C160" s="11">
        <f t="shared" ca="1" si="25"/>
        <v>1</v>
      </c>
      <c r="D160" s="11">
        <f t="shared" ca="1" si="26"/>
        <v>0</v>
      </c>
      <c r="E160" s="11">
        <f t="shared" ca="1" si="27"/>
        <v>1</v>
      </c>
      <c r="F160" s="36">
        <f t="shared" ca="1" si="28"/>
        <v>0.97733386646834441</v>
      </c>
      <c r="G160" s="11">
        <f t="shared" ca="1" si="29"/>
        <v>3.379065627577825E-2</v>
      </c>
      <c r="H160" s="11">
        <f t="shared" ca="1" si="30"/>
        <v>9.0791853935848529E-2</v>
      </c>
      <c r="I160" s="11">
        <f t="shared" ca="1" si="31"/>
        <v>0</v>
      </c>
      <c r="J160" s="11">
        <f t="shared" ca="1" si="32"/>
        <v>88</v>
      </c>
      <c r="K160" s="11">
        <f t="shared" ca="1" si="33"/>
        <v>131</v>
      </c>
      <c r="L160" s="11">
        <f t="shared" ca="1" si="34"/>
        <v>64</v>
      </c>
      <c r="M160" s="11">
        <f ca="1">MAX(MAX(0,($J160*(1+0.5*Acuity_M))-(Model!$G$24*(1+OTCapPct)*(Cap_Doc*$C160*(1-$G160)))),MAX(0,($J160)-(Model!$G$6*(1+OTCapPct)*(Cap_Nurse*$C160*(1-$H160)))),MAX(0,($J160)-(Model!$G$15*(1+OTCapPct)*(Cap_Tech*$C160*(1-$I160)))),MAX(0,$J160-((BedsCurrent+BedsAdded)*ShiftHours*$F160/BedHr_M)),MAX(0,$J160*Acuity_M-(ImgBase+ImgExpOn*ImgExpAdd)),MAX(0,$J160-(LabBase+LabExpOn*LabExpAdd)))</f>
        <v>0</v>
      </c>
      <c r="N160" s="11">
        <f ca="1">MAX(MAX(0,($K160*(1+0.5*Acuity_E))-(Model!$G$25*(1+OTCapPct)*(Cap_Doc*$C160*(1-$G160)))),MAX(0,($K160)-(Model!$G$7*(1+OTCapPct)*(Cap_Nurse*$C160*(1-$H160)))),MAX(0,($K160)-(Model!$G$16*(1+OTCapPct)*(Cap_Tech*$C160*(1-$I160)))),MAX(0,$K160-((BedsCurrent+BedsAdded)*ShiftHours*$F160/BedHr_E)),MAX(0,$K160*Acuity_E-(ImgBase+ImgExpOn*ImgExpAdd)),MAX(0,$K160-(LabBase+LabExpOn*LabExpAdd)))</f>
        <v>36</v>
      </c>
      <c r="O160" s="11">
        <f ca="1">MAX(MAX(0,($L160*(1+0.5*Acuity_N))-(Model!$G$26*(1+OTCapPct)*(Cap_Doc*$C160*(1-$G160)))),MAX(0,($L160)-(Model!$G$8*(1+OTCapPct)*(Cap_Nurse*$C160*(1-$H160)))),MAX(0,($L160)-(Model!$G$17*(1+OTCapPct)*(Cap_Tech*$C160*(1-$I160)))),MAX(0,$L160-((BedsCurrent+BedsAdded)*ShiftHours*$F160/BedHr_N)),MAX(0,$L160*Acuity_N-(ImgBase+ImgExpOn*ImgExpAdd)),MAX(0,$L160-(LabBase+LabExpOn*LabExpAdd)))</f>
        <v>0</v>
      </c>
      <c r="P160" s="11">
        <f t="shared" ca="1" si="35"/>
        <v>36</v>
      </c>
      <c r="Q160" s="17">
        <f ca="1">((MIN(OTCapPct*Model!$G$24,MAX(0,(($J160*(1+0.5*Acuity_M))/(Cap_Doc*$C160*(1-$G160)))-Model!$G$24)))*OTCost_Doc)+((MIN(OTCapPct*Model!$G$6,MAX(0,(($J160)/(Cap_Nurse*$C160*(1-$H160)))-Model!$G$6)))*OTCost_Nurse)+((MIN(OTCapPct*Model!$G$15,MAX(0,(($J160)/(Cap_Tech*$C160*(1-$I160)))-Model!$G$15)))*OTCost_Tech)+((MIN(OTCapPct*Model!$G$25,MAX(0,(($K160*(1+0.5*Acuity_E))/(Cap_Doc*$C160*(1-$G160)))-Model!$G$25)))*OTCost_Doc)+((MIN(OTCapPct*Model!$G$7,MAX(0,(($K160)/(Cap_Nurse*$C160*(1-$H160)))-Model!$G$7)))*OTCost_Nurse)+((MIN(OTCapPct*Model!$G$16,MAX(0,(($K160)/(Cap_Tech*$C160*(1-$I160)))-Model!$G$16)))*OTCost_Tech)+((MIN(OTCapPct*Model!$G$26,MAX(0,(($L160*(1+0.5*Acuity_N))/(Cap_Doc*$C160*(1-$G160)))-Model!$G$26)))*OTCost_Doc)+((MIN(OTCapPct*Model!$G$8,MAX(0,(($L160)/(Cap_Nurse*$C160*(1-$H160)))-Model!$G$8)))*OTCost_Nurse)+((MIN(OTCapPct*Model!$G$17,MAX(0,(($L160)/(Cap_Tech*$C160*(1-$I160)))-Model!$G$17)))*OTCost_Tech)</f>
        <v>54678.645073300868</v>
      </c>
    </row>
    <row r="161" spans="1:17" x14ac:dyDescent="0.25">
      <c r="A161" s="11">
        <v>157</v>
      </c>
      <c r="B161" s="11" t="str">
        <f t="shared" ca="1" si="24"/>
        <v>Normal</v>
      </c>
      <c r="C161" s="11">
        <f t="shared" ca="1" si="25"/>
        <v>1</v>
      </c>
      <c r="D161" s="11">
        <f t="shared" ca="1" si="26"/>
        <v>0</v>
      </c>
      <c r="E161" s="11">
        <f t="shared" ca="1" si="27"/>
        <v>2</v>
      </c>
      <c r="F161" s="36">
        <f t="shared" ca="1" si="28"/>
        <v>0.86007703827126059</v>
      </c>
      <c r="G161" s="11">
        <f t="shared" ca="1" si="29"/>
        <v>2.5958940400602273E-2</v>
      </c>
      <c r="H161" s="11">
        <f t="shared" ca="1" si="30"/>
        <v>5.3054725349727619E-2</v>
      </c>
      <c r="I161" s="11">
        <f t="shared" ca="1" si="31"/>
        <v>0</v>
      </c>
      <c r="J161" s="11">
        <f t="shared" ca="1" si="32"/>
        <v>80</v>
      </c>
      <c r="K161" s="11">
        <f t="shared" ca="1" si="33"/>
        <v>103</v>
      </c>
      <c r="L161" s="11">
        <f t="shared" ca="1" si="34"/>
        <v>53</v>
      </c>
      <c r="M161" s="11">
        <f ca="1">MAX(MAX(0,($J161*(1+0.5*Acuity_M))-(Model!$G$24*(1+OTCapPct)*(Cap_Doc*$C161*(1-$G161)))),MAX(0,($J161)-(Model!$G$6*(1+OTCapPct)*(Cap_Nurse*$C161*(1-$H161)))),MAX(0,($J161)-(Model!$G$15*(1+OTCapPct)*(Cap_Tech*$C161*(1-$I161)))),MAX(0,$J161-((BedsCurrent+BedsAdded)*ShiftHours*$F161/BedHr_M)),MAX(0,$J161*Acuity_M-(ImgBase+ImgExpOn*ImgExpAdd)),MAX(0,$J161-(LabBase+LabExpOn*LabExpAdd)))</f>
        <v>0</v>
      </c>
      <c r="N161" s="11">
        <f ca="1">MAX(MAX(0,($K161*(1+0.5*Acuity_E))-(Model!$G$25*(1+OTCapPct)*(Cap_Doc*$C161*(1-$G161)))),MAX(0,($K161)-(Model!$G$7*(1+OTCapPct)*(Cap_Nurse*$C161*(1-$H161)))),MAX(0,($K161)-(Model!$G$16*(1+OTCapPct)*(Cap_Tech*$C161*(1-$I161)))),MAX(0,$K161-((BedsCurrent+BedsAdded)*ShiftHours*$F161/BedHr_E)),MAX(0,$K161*Acuity_E-(ImgBase+ImgExpOn*ImgExpAdd)),MAX(0,$K161-(LabBase+LabExpOn*LabExpAdd)))</f>
        <v>9.4236182360868526</v>
      </c>
      <c r="O161" s="11">
        <f ca="1">MAX(MAX(0,($L161*(1+0.5*Acuity_N))-(Model!$G$26*(1+OTCapPct)*(Cap_Doc*$C161*(1-$G161)))),MAX(0,($L161)-(Model!$G$8*(1+OTCapPct)*(Cap_Nurse*$C161*(1-$H161)))),MAX(0,($L161)-(Model!$G$17*(1+OTCapPct)*(Cap_Tech*$C161*(1-$I161)))),MAX(0,$L161-((BedsCurrent+BedsAdded)*ShiftHours*$F161/BedHr_N)),MAX(0,$L161*Acuity_N-(ImgBase+ImgExpOn*ImgExpAdd)),MAX(0,$L161-(LabBase+LabExpOn*LabExpAdd)))</f>
        <v>0</v>
      </c>
      <c r="P161" s="11">
        <f t="shared" ca="1" si="35"/>
        <v>9.4236182360868526</v>
      </c>
      <c r="Q161" s="17">
        <f ca="1">((MIN(OTCapPct*Model!$G$24,MAX(0,(($J161*(1+0.5*Acuity_M))/(Cap_Doc*$C161*(1-$G161)))-Model!$G$24)))*OTCost_Doc)+((MIN(OTCapPct*Model!$G$6,MAX(0,(($J161)/(Cap_Nurse*$C161*(1-$H161)))-Model!$G$6)))*OTCost_Nurse)+((MIN(OTCapPct*Model!$G$15,MAX(0,(($J161)/(Cap_Tech*$C161*(1-$I161)))-Model!$G$15)))*OTCost_Tech)+((MIN(OTCapPct*Model!$G$25,MAX(0,(($K161*(1+0.5*Acuity_E))/(Cap_Doc*$C161*(1-$G161)))-Model!$G$25)))*OTCost_Doc)+((MIN(OTCapPct*Model!$G$7,MAX(0,(($K161)/(Cap_Nurse*$C161*(1-$H161)))-Model!$G$7)))*OTCost_Nurse)+((MIN(OTCapPct*Model!$G$16,MAX(0,(($K161)/(Cap_Tech*$C161*(1-$I161)))-Model!$G$16)))*OTCost_Tech)+((MIN(OTCapPct*Model!$G$26,MAX(0,(($L161*(1+0.5*Acuity_N))/(Cap_Doc*$C161*(1-$G161)))-Model!$G$26)))*OTCost_Doc)+((MIN(OTCapPct*Model!$G$8,MAX(0,(($L161)/(Cap_Nurse*$C161*(1-$H161)))-Model!$G$8)))*OTCost_Nurse)+((MIN(OTCapPct*Model!$G$17,MAX(0,(($L161)/(Cap_Tech*$C161*(1-$I161)))-Model!$G$17)))*OTCost_Tech)</f>
        <v>1136.121198234302</v>
      </c>
    </row>
    <row r="162" spans="1:17" x14ac:dyDescent="0.25">
      <c r="A162" s="11">
        <v>158</v>
      </c>
      <c r="B162" s="11" t="str">
        <f t="shared" ca="1" si="24"/>
        <v>Severe</v>
      </c>
      <c r="C162" s="11">
        <f t="shared" ca="1" si="25"/>
        <v>0.8</v>
      </c>
      <c r="D162" s="11">
        <f t="shared" ca="1" si="26"/>
        <v>0</v>
      </c>
      <c r="E162" s="11">
        <f t="shared" ca="1" si="27"/>
        <v>3</v>
      </c>
      <c r="F162" s="36">
        <f t="shared" ca="1" si="28"/>
        <v>0.93470704696157014</v>
      </c>
      <c r="G162" s="11">
        <f t="shared" ca="1" si="29"/>
        <v>0</v>
      </c>
      <c r="H162" s="11">
        <f t="shared" ca="1" si="30"/>
        <v>3.0999128047738404E-2</v>
      </c>
      <c r="I162" s="11">
        <f t="shared" ca="1" si="31"/>
        <v>0.13026040202369477</v>
      </c>
      <c r="J162" s="11">
        <f t="shared" ca="1" si="32"/>
        <v>84</v>
      </c>
      <c r="K162" s="11">
        <f t="shared" ca="1" si="33"/>
        <v>117</v>
      </c>
      <c r="L162" s="11">
        <f t="shared" ca="1" si="34"/>
        <v>49</v>
      </c>
      <c r="M162" s="11">
        <f ca="1">MAX(MAX(0,($J162*(1+0.5*Acuity_M))-(Model!$G$24*(1+OTCapPct)*(Cap_Doc*$C162*(1-$G162)))),MAX(0,($J162)-(Model!$G$6*(1+OTCapPct)*(Cap_Nurse*$C162*(1-$H162)))),MAX(0,($J162)-(Model!$G$15*(1+OTCapPct)*(Cap_Tech*$C162*(1-$I162)))),MAX(0,$J162-((BedsCurrent+BedsAdded)*ShiftHours*$F162/BedHr_M)),MAX(0,$J162*Acuity_M-(ImgBase+ImgExpOn*ImgExpAdd)),MAX(0,$J162-(LabBase+LabExpOn*LabExpAdd)))</f>
        <v>5.7234361821325308</v>
      </c>
      <c r="N162" s="11">
        <f ca="1">MAX(MAX(0,($K162*(1+0.5*Acuity_E))-(Model!$G$25*(1+OTCapPct)*(Cap_Doc*$C162*(1-$G162)))),MAX(0,($K162)-(Model!$G$7*(1+OTCapPct)*(Cap_Nurse*$C162*(1-$H162)))),MAX(0,($K162)-(Model!$G$16*(1+OTCapPct)*(Cap_Tech*$C162*(1-$I162)))),MAX(0,$K162-((BedsCurrent+BedsAdded)*ShiftHours*$F162/BedHr_E)),MAX(0,$K162*Acuity_E-(ImgBase+ImgExpOn*ImgExpAdd)),MAX(0,$K162-(LabBase+LabExpOn*LabExpAdd)))</f>
        <v>22</v>
      </c>
      <c r="O162" s="11">
        <f ca="1">MAX(MAX(0,($L162*(1+0.5*Acuity_N))-(Model!$G$26*(1+OTCapPct)*(Cap_Doc*$C162*(1-$G162)))),MAX(0,($L162)-(Model!$G$8*(1+OTCapPct)*(Cap_Nurse*$C162*(1-$H162)))),MAX(0,($L162)-(Model!$G$17*(1+OTCapPct)*(Cap_Tech*$C162*(1-$I162)))),MAX(0,$L162-((BedsCurrent+BedsAdded)*ShiftHours*$F162/BedHr_N)),MAX(0,$L162*Acuity_N-(ImgBase+ImgExpOn*ImgExpAdd)),MAX(0,$L162-(LabBase+LabExpOn*LabExpAdd)))</f>
        <v>0</v>
      </c>
      <c r="P162" s="11">
        <f t="shared" ca="1" si="35"/>
        <v>27.723436182132531</v>
      </c>
      <c r="Q162" s="17">
        <f ca="1">((MIN(OTCapPct*Model!$G$24,MAX(0,(($J162*(1+0.5*Acuity_M))/(Cap_Doc*$C162*(1-$G162)))-Model!$G$24)))*OTCost_Doc)+((MIN(OTCapPct*Model!$G$6,MAX(0,(($J162)/(Cap_Nurse*$C162*(1-$H162)))-Model!$G$6)))*OTCost_Nurse)+((MIN(OTCapPct*Model!$G$15,MAX(0,(($J162)/(Cap_Tech*$C162*(1-$I162)))-Model!$G$15)))*OTCost_Tech)+((MIN(OTCapPct*Model!$G$25,MAX(0,(($K162*(1+0.5*Acuity_E))/(Cap_Doc*$C162*(1-$G162)))-Model!$G$25)))*OTCost_Doc)+((MIN(OTCapPct*Model!$G$7,MAX(0,(($K162)/(Cap_Nurse*$C162*(1-$H162)))-Model!$G$7)))*OTCost_Nurse)+((MIN(OTCapPct*Model!$G$16,MAX(0,(($K162)/(Cap_Tech*$C162*(1-$I162)))-Model!$G$16)))*OTCost_Tech)+((MIN(OTCapPct*Model!$G$26,MAX(0,(($L162*(1+0.5*Acuity_N))/(Cap_Doc*$C162*(1-$G162)))-Model!$G$26)))*OTCost_Doc)+((MIN(OTCapPct*Model!$G$8,MAX(0,(($L162)/(Cap_Nurse*$C162*(1-$H162)))-Model!$G$8)))*OTCost_Nurse)+((MIN(OTCapPct*Model!$G$17,MAX(0,(($L162)/(Cap_Tech*$C162*(1-$I162)))-Model!$G$17)))*OTCost_Tech)</f>
        <v>76875</v>
      </c>
    </row>
    <row r="163" spans="1:17" x14ac:dyDescent="0.25">
      <c r="A163" s="11">
        <v>159</v>
      </c>
      <c r="B163" s="11" t="str">
        <f t="shared" ca="1" si="24"/>
        <v>Complex</v>
      </c>
      <c r="C163" s="11">
        <f t="shared" ca="1" si="25"/>
        <v>0.9</v>
      </c>
      <c r="D163" s="11">
        <f t="shared" ca="1" si="26"/>
        <v>0</v>
      </c>
      <c r="E163" s="11">
        <f t="shared" ca="1" si="27"/>
        <v>3</v>
      </c>
      <c r="F163" s="36">
        <f t="shared" ca="1" si="28"/>
        <v>1.0303241228624738</v>
      </c>
      <c r="G163" s="11">
        <f t="shared" ca="1" si="29"/>
        <v>3.8458334385883128E-2</v>
      </c>
      <c r="H163" s="11">
        <f t="shared" ca="1" si="30"/>
        <v>9.055701043949535E-2</v>
      </c>
      <c r="I163" s="11">
        <f t="shared" ca="1" si="31"/>
        <v>4.3805512151174772E-2</v>
      </c>
      <c r="J163" s="11">
        <f t="shared" ca="1" si="32"/>
        <v>89</v>
      </c>
      <c r="K163" s="11">
        <f t="shared" ca="1" si="33"/>
        <v>92</v>
      </c>
      <c r="L163" s="11">
        <f t="shared" ca="1" si="34"/>
        <v>42</v>
      </c>
      <c r="M163" s="11">
        <f ca="1">MAX(MAX(0,($J163*(1+0.5*Acuity_M))-(Model!$G$24*(1+OTCapPct)*(Cap_Doc*$C163*(1-$G163)))),MAX(0,($J163)-(Model!$G$6*(1+OTCapPct)*(Cap_Nurse*$C163*(1-$H163)))),MAX(0,($J163)-(Model!$G$15*(1+OTCapPct)*(Cap_Tech*$C163*(1-$I163)))),MAX(0,$J163-((BedsCurrent+BedsAdded)*ShiftHours*$F163/BedHr_M)),MAX(0,$J163*Acuity_M-(ImgBase+ImgExpOn*ImgExpAdd)),MAX(0,$J163-(LabBase+LabExpOn*LabExpAdd)))</f>
        <v>3.0576374865323146</v>
      </c>
      <c r="N163" s="11">
        <f ca="1">MAX(MAX(0,($K163*(1+0.5*Acuity_E))-(Model!$G$25*(1+OTCapPct)*(Cap_Doc*$C163*(1-$G163)))),MAX(0,($K163)-(Model!$G$7*(1+OTCapPct)*(Cap_Nurse*$C163*(1-$H163)))),MAX(0,($K163)-(Model!$G$16*(1+OTCapPct)*(Cap_Tech*$C163*(1-$I163)))),MAX(0,$K163-((BedsCurrent+BedsAdded)*ShiftHours*$F163/BedHr_E)),MAX(0,$K163*Acuity_E-(ImgBase+ImgExpOn*ImgExpAdd)),MAX(0,$K163-(LabBase+LabExpOn*LabExpAdd)))</f>
        <v>0</v>
      </c>
      <c r="O163" s="11">
        <f ca="1">MAX(MAX(0,($L163*(1+0.5*Acuity_N))-(Model!$G$26*(1+OTCapPct)*(Cap_Doc*$C163*(1-$G163)))),MAX(0,($L163)-(Model!$G$8*(1+OTCapPct)*(Cap_Nurse*$C163*(1-$H163)))),MAX(0,($L163)-(Model!$G$17*(1+OTCapPct)*(Cap_Tech*$C163*(1-$I163)))),MAX(0,$L163-((BedsCurrent+BedsAdded)*ShiftHours*$F163/BedHr_N)),MAX(0,$L163*Acuity_N-(ImgBase+ImgExpOn*ImgExpAdd)),MAX(0,$L163-(LabBase+LabExpOn*LabExpAdd)))</f>
        <v>0</v>
      </c>
      <c r="P163" s="11">
        <f t="shared" ca="1" si="35"/>
        <v>3.0576374865323146</v>
      </c>
      <c r="Q163" s="17">
        <f ca="1">((MIN(OTCapPct*Model!$G$24,MAX(0,(($J163*(1+0.5*Acuity_M))/(Cap_Doc*$C163*(1-$G163)))-Model!$G$24)))*OTCost_Doc)+((MIN(OTCapPct*Model!$G$6,MAX(0,(($J163)/(Cap_Nurse*$C163*(1-$H163)))-Model!$G$6)))*OTCost_Nurse)+((MIN(OTCapPct*Model!$G$15,MAX(0,(($J163)/(Cap_Tech*$C163*(1-$I163)))-Model!$G$15)))*OTCost_Tech)+((MIN(OTCapPct*Model!$G$25,MAX(0,(($K163*(1+0.5*Acuity_E))/(Cap_Doc*$C163*(1-$G163)))-Model!$G$25)))*OTCost_Doc)+((MIN(OTCapPct*Model!$G$7,MAX(0,(($K163)/(Cap_Nurse*$C163*(1-$H163)))-Model!$G$7)))*OTCost_Nurse)+((MIN(OTCapPct*Model!$G$16,MAX(0,(($K163)/(Cap_Tech*$C163*(1-$I163)))-Model!$G$16)))*OTCost_Tech)+((MIN(OTCapPct*Model!$G$26,MAX(0,(($L163*(1+0.5*Acuity_N))/(Cap_Doc*$C163*(1-$G163)))-Model!$G$26)))*OTCost_Doc)+((MIN(OTCapPct*Model!$G$8,MAX(0,(($L163)/(Cap_Nurse*$C163*(1-$H163)))-Model!$G$8)))*OTCost_Nurse)+((MIN(OTCapPct*Model!$G$17,MAX(0,(($L163)/(Cap_Tech*$C163*(1-$I163)))-Model!$G$17)))*OTCost_Tech)</f>
        <v>30486.536803888386</v>
      </c>
    </row>
    <row r="164" spans="1:17" x14ac:dyDescent="0.25">
      <c r="A164" s="11">
        <v>160</v>
      </c>
      <c r="B164" s="11" t="str">
        <f t="shared" ca="1" si="24"/>
        <v>Normal</v>
      </c>
      <c r="C164" s="11">
        <f t="shared" ca="1" si="25"/>
        <v>1</v>
      </c>
      <c r="D164" s="11">
        <f t="shared" ca="1" si="26"/>
        <v>0</v>
      </c>
      <c r="E164" s="11">
        <f t="shared" ca="1" si="27"/>
        <v>2</v>
      </c>
      <c r="F164" s="36">
        <f t="shared" ca="1" si="28"/>
        <v>0.99368655084691926</v>
      </c>
      <c r="G164" s="11">
        <f t="shared" ca="1" si="29"/>
        <v>3.557029065589392E-2</v>
      </c>
      <c r="H164" s="11">
        <f t="shared" ca="1" si="30"/>
        <v>9.081173460830759E-2</v>
      </c>
      <c r="I164" s="11">
        <f t="shared" ca="1" si="31"/>
        <v>0.16105455882135289</v>
      </c>
      <c r="J164" s="11">
        <f t="shared" ca="1" si="32"/>
        <v>91</v>
      </c>
      <c r="K164" s="11">
        <f t="shared" ca="1" si="33"/>
        <v>102</v>
      </c>
      <c r="L164" s="11">
        <f t="shared" ca="1" si="34"/>
        <v>55</v>
      </c>
      <c r="M164" s="11">
        <f ca="1">MAX(MAX(0,($J164*(1+0.5*Acuity_M))-(Model!$G$24*(1+OTCapPct)*(Cap_Doc*$C164*(1-$G164)))),MAX(0,($J164)-(Model!$G$6*(1+OTCapPct)*(Cap_Nurse*$C164*(1-$H164)))),MAX(0,($J164)-(Model!$G$15*(1+OTCapPct)*(Cap_Tech*$C164*(1-$I164)))),MAX(0,$J164-((BedsCurrent+BedsAdded)*ShiftHours*$F164/BedHr_M)),MAX(0,$J164*Acuity_M-(ImgBase+ImgExpOn*ImgExpAdd)),MAX(0,$J164-(LabBase+LabExpOn*LabExpAdd)))</f>
        <v>0</v>
      </c>
      <c r="N164" s="11">
        <f ca="1">MAX(MAX(0,($K164*(1+0.5*Acuity_E))-(Model!$G$25*(1+OTCapPct)*(Cap_Doc*$C164*(1-$G164)))),MAX(0,($K164)-(Model!$G$7*(1+OTCapPct)*(Cap_Nurse*$C164*(1-$H164)))),MAX(0,($K164)-(Model!$G$16*(1+OTCapPct)*(Cap_Tech*$C164*(1-$I164)))),MAX(0,$K164-((BedsCurrent+BedsAdded)*ShiftHours*$F164/BedHr_E)),MAX(0,$K164*Acuity_E-(ImgBase+ImgExpOn*ImgExpAdd)),MAX(0,$K164-(LabBase+LabExpOn*LabExpAdd)))</f>
        <v>7</v>
      </c>
      <c r="O164" s="11">
        <f ca="1">MAX(MAX(0,($L164*(1+0.5*Acuity_N))-(Model!$G$26*(1+OTCapPct)*(Cap_Doc*$C164*(1-$G164)))),MAX(0,($L164)-(Model!$G$8*(1+OTCapPct)*(Cap_Nurse*$C164*(1-$H164)))),MAX(0,($L164)-(Model!$G$17*(1+OTCapPct)*(Cap_Tech*$C164*(1-$I164)))),MAX(0,$L164-((BedsCurrent+BedsAdded)*ShiftHours*$F164/BedHr_N)),MAX(0,$L164*Acuity_N-(ImgBase+ImgExpOn*ImgExpAdd)),MAX(0,$L164-(LabBase+LabExpOn*LabExpAdd)))</f>
        <v>0</v>
      </c>
      <c r="P164" s="11">
        <f t="shared" ca="1" si="35"/>
        <v>7</v>
      </c>
      <c r="Q164" s="17">
        <f ca="1">((MIN(OTCapPct*Model!$G$24,MAX(0,(($J164*(1+0.5*Acuity_M))/(Cap_Doc*$C164*(1-$G164)))-Model!$G$24)))*OTCost_Doc)+((MIN(OTCapPct*Model!$G$6,MAX(0,(($J164)/(Cap_Nurse*$C164*(1-$H164)))-Model!$G$6)))*OTCost_Nurse)+((MIN(OTCapPct*Model!$G$15,MAX(0,(($J164)/(Cap_Tech*$C164*(1-$I164)))-Model!$G$15)))*OTCost_Tech)+((MIN(OTCapPct*Model!$G$25,MAX(0,(($K164*(1+0.5*Acuity_E))/(Cap_Doc*$C164*(1-$G164)))-Model!$G$25)))*OTCost_Doc)+((MIN(OTCapPct*Model!$G$7,MAX(0,(($K164)/(Cap_Nurse*$C164*(1-$H164)))-Model!$G$7)))*OTCost_Nurse)+((MIN(OTCapPct*Model!$G$16,MAX(0,(($K164)/(Cap_Tech*$C164*(1-$I164)))-Model!$G$16)))*OTCost_Tech)+((MIN(OTCapPct*Model!$G$26,MAX(0,(($L164*(1+0.5*Acuity_N))/(Cap_Doc*$C164*(1-$G164)))-Model!$G$26)))*OTCost_Doc)+((MIN(OTCapPct*Model!$G$8,MAX(0,(($L164)/(Cap_Nurse*$C164*(1-$H164)))-Model!$G$8)))*OTCost_Nurse)+((MIN(OTCapPct*Model!$G$17,MAX(0,(($L164)/(Cap_Tech*$C164*(1-$I164)))-Model!$G$17)))*OTCost_Tech)</f>
        <v>23108.416818104146</v>
      </c>
    </row>
    <row r="165" spans="1:17" x14ac:dyDescent="0.25">
      <c r="A165" s="11">
        <v>161</v>
      </c>
      <c r="B165" s="11" t="str">
        <f t="shared" ca="1" si="24"/>
        <v>Normal</v>
      </c>
      <c r="C165" s="11">
        <f t="shared" ca="1" si="25"/>
        <v>1</v>
      </c>
      <c r="D165" s="11">
        <f t="shared" ca="1" si="26"/>
        <v>0</v>
      </c>
      <c r="E165" s="11">
        <f t="shared" ca="1" si="27"/>
        <v>3</v>
      </c>
      <c r="F165" s="36">
        <f t="shared" ca="1" si="28"/>
        <v>0.99473656314550518</v>
      </c>
      <c r="G165" s="11">
        <f t="shared" ca="1" si="29"/>
        <v>4.6336927040083221E-2</v>
      </c>
      <c r="H165" s="11">
        <f t="shared" ca="1" si="30"/>
        <v>0.11637027840994024</v>
      </c>
      <c r="I165" s="11">
        <f t="shared" ca="1" si="31"/>
        <v>0</v>
      </c>
      <c r="J165" s="11">
        <f t="shared" ca="1" si="32"/>
        <v>73</v>
      </c>
      <c r="K165" s="11">
        <f t="shared" ca="1" si="33"/>
        <v>133</v>
      </c>
      <c r="L165" s="11">
        <f t="shared" ca="1" si="34"/>
        <v>55</v>
      </c>
      <c r="M165" s="11">
        <f ca="1">MAX(MAX(0,($J165*(1+0.5*Acuity_M))-(Model!$G$24*(1+OTCapPct)*(Cap_Doc*$C165*(1-$G165)))),MAX(0,($J165)-(Model!$G$6*(1+OTCapPct)*(Cap_Nurse*$C165*(1-$H165)))),MAX(0,($J165)-(Model!$G$15*(1+OTCapPct)*(Cap_Tech*$C165*(1-$I165)))),MAX(0,$J165-((BedsCurrent+BedsAdded)*ShiftHours*$F165/BedHr_M)),MAX(0,$J165*Acuity_M-(ImgBase+ImgExpOn*ImgExpAdd)),MAX(0,$J165-(LabBase+LabExpOn*LabExpAdd)))</f>
        <v>0</v>
      </c>
      <c r="N165" s="11">
        <f ca="1">MAX(MAX(0,($K165*(1+0.5*Acuity_E))-(Model!$G$25*(1+OTCapPct)*(Cap_Doc*$C165*(1-$G165)))),MAX(0,($K165)-(Model!$G$7*(1+OTCapPct)*(Cap_Nurse*$C165*(1-$H165)))),MAX(0,($K165)-(Model!$G$16*(1+OTCapPct)*(Cap_Tech*$C165*(1-$I165)))),MAX(0,$K165-((BedsCurrent+BedsAdded)*ShiftHours*$F165/BedHr_E)),MAX(0,$K165*Acuity_E-(ImgBase+ImgExpOn*ImgExpAdd)),MAX(0,$K165-(LabBase+LabExpOn*LabExpAdd)))</f>
        <v>38</v>
      </c>
      <c r="O165" s="11">
        <f ca="1">MAX(MAX(0,($L165*(1+0.5*Acuity_N))-(Model!$G$26*(1+OTCapPct)*(Cap_Doc*$C165*(1-$G165)))),MAX(0,($L165)-(Model!$G$8*(1+OTCapPct)*(Cap_Nurse*$C165*(1-$H165)))),MAX(0,($L165)-(Model!$G$17*(1+OTCapPct)*(Cap_Tech*$C165*(1-$I165)))),MAX(0,$L165-((BedsCurrent+BedsAdded)*ShiftHours*$F165/BedHr_N)),MAX(0,$L165*Acuity_N-(ImgBase+ImgExpOn*ImgExpAdd)),MAX(0,$L165-(LabBase+LabExpOn*LabExpAdd)))</f>
        <v>0</v>
      </c>
      <c r="P165" s="11">
        <f t="shared" ca="1" si="35"/>
        <v>38</v>
      </c>
      <c r="Q165" s="17">
        <f ca="1">((MIN(OTCapPct*Model!$G$24,MAX(0,(($J165*(1+0.5*Acuity_M))/(Cap_Doc*$C165*(1-$G165)))-Model!$G$24)))*OTCost_Doc)+((MIN(OTCapPct*Model!$G$6,MAX(0,(($J165)/(Cap_Nurse*$C165*(1-$H165)))-Model!$G$6)))*OTCost_Nurse)+((MIN(OTCapPct*Model!$G$15,MAX(0,(($J165)/(Cap_Tech*$C165*(1-$I165)))-Model!$G$15)))*OTCost_Tech)+((MIN(OTCapPct*Model!$G$25,MAX(0,(($K165*(1+0.5*Acuity_E))/(Cap_Doc*$C165*(1-$G165)))-Model!$G$25)))*OTCost_Doc)+((MIN(OTCapPct*Model!$G$7,MAX(0,(($K165)/(Cap_Nurse*$C165*(1-$H165)))-Model!$G$7)))*OTCost_Nurse)+((MIN(OTCapPct*Model!$G$16,MAX(0,(($K165)/(Cap_Tech*$C165*(1-$I165)))-Model!$G$16)))*OTCost_Tech)+((MIN(OTCapPct*Model!$G$26,MAX(0,(($L165*(1+0.5*Acuity_N))/(Cap_Doc*$C165*(1-$G165)))-Model!$G$26)))*OTCost_Doc)+((MIN(OTCapPct*Model!$G$8,MAX(0,(($L165)/(Cap_Nurse*$C165*(1-$H165)))-Model!$G$8)))*OTCost_Nurse)+((MIN(OTCapPct*Model!$G$17,MAX(0,(($L165)/(Cap_Tech*$C165*(1-$I165)))-Model!$G$17)))*OTCost_Tech)</f>
        <v>42041.666666666672</v>
      </c>
    </row>
    <row r="166" spans="1:17" x14ac:dyDescent="0.25">
      <c r="A166" s="11">
        <v>162</v>
      </c>
      <c r="B166" s="11" t="str">
        <f t="shared" ca="1" si="24"/>
        <v>Normal</v>
      </c>
      <c r="C166" s="11">
        <f t="shared" ca="1" si="25"/>
        <v>1</v>
      </c>
      <c r="D166" s="11">
        <f t="shared" ca="1" si="26"/>
        <v>0</v>
      </c>
      <c r="E166" s="11">
        <f t="shared" ca="1" si="27"/>
        <v>2</v>
      </c>
      <c r="F166" s="36">
        <f t="shared" ca="1" si="28"/>
        <v>1.0131342701040937</v>
      </c>
      <c r="G166" s="11">
        <f t="shared" ca="1" si="29"/>
        <v>9.0068703867722893E-2</v>
      </c>
      <c r="H166" s="11">
        <f t="shared" ca="1" si="30"/>
        <v>4.5639597000238091E-2</v>
      </c>
      <c r="I166" s="11">
        <f t="shared" ca="1" si="31"/>
        <v>0</v>
      </c>
      <c r="J166" s="11">
        <f t="shared" ca="1" si="32"/>
        <v>86</v>
      </c>
      <c r="K166" s="11">
        <f t="shared" ca="1" si="33"/>
        <v>97</v>
      </c>
      <c r="L166" s="11">
        <f t="shared" ca="1" si="34"/>
        <v>66</v>
      </c>
      <c r="M166" s="11">
        <f ca="1">MAX(MAX(0,($J166*(1+0.5*Acuity_M))-(Model!$G$24*(1+OTCapPct)*(Cap_Doc*$C166*(1-$G166)))),MAX(0,($J166)-(Model!$G$6*(1+OTCapPct)*(Cap_Nurse*$C166*(1-$H166)))),MAX(0,($J166)-(Model!$G$15*(1+OTCapPct)*(Cap_Tech*$C166*(1-$I166)))),MAX(0,$J166-((BedsCurrent+BedsAdded)*ShiftHours*$F166/BedHr_M)),MAX(0,$J166*Acuity_M-(ImgBase+ImgExpOn*ImgExpAdd)),MAX(0,$J166-(LabBase+LabExpOn*LabExpAdd)))</f>
        <v>0</v>
      </c>
      <c r="N166" s="11">
        <f ca="1">MAX(MAX(0,($K166*(1+0.5*Acuity_E))-(Model!$G$25*(1+OTCapPct)*(Cap_Doc*$C166*(1-$G166)))),MAX(0,($K166)-(Model!$G$7*(1+OTCapPct)*(Cap_Nurse*$C166*(1-$H166)))),MAX(0,($K166)-(Model!$G$16*(1+OTCapPct)*(Cap_Tech*$C166*(1-$I166)))),MAX(0,$K166-((BedsCurrent+BedsAdded)*ShiftHours*$F166/BedHr_E)),MAX(0,$K166*Acuity_E-(ImgBase+ImgExpOn*ImgExpAdd)),MAX(0,$K166-(LabBase+LabExpOn*LabExpAdd)))</f>
        <v>2</v>
      </c>
      <c r="O166" s="11">
        <f ca="1">MAX(MAX(0,($L166*(1+0.5*Acuity_N))-(Model!$G$26*(1+OTCapPct)*(Cap_Doc*$C166*(1-$G166)))),MAX(0,($L166)-(Model!$G$8*(1+OTCapPct)*(Cap_Nurse*$C166*(1-$H166)))),MAX(0,($L166)-(Model!$G$17*(1+OTCapPct)*(Cap_Tech*$C166*(1-$I166)))),MAX(0,$L166-((BedsCurrent+BedsAdded)*ShiftHours*$F166/BedHr_N)),MAX(0,$L166*Acuity_N-(ImgBase+ImgExpOn*ImgExpAdd)),MAX(0,$L166-(LabBase+LabExpOn*LabExpAdd)))</f>
        <v>0</v>
      </c>
      <c r="P166" s="11">
        <f t="shared" ca="1" si="35"/>
        <v>2</v>
      </c>
      <c r="Q166" s="17">
        <f ca="1">((MIN(OTCapPct*Model!$G$24,MAX(0,(($J166*(1+0.5*Acuity_M))/(Cap_Doc*$C166*(1-$G166)))-Model!$G$24)))*OTCost_Doc)+((MIN(OTCapPct*Model!$G$6,MAX(0,(($J166)/(Cap_Nurse*$C166*(1-$H166)))-Model!$G$6)))*OTCost_Nurse)+((MIN(OTCapPct*Model!$G$15,MAX(0,(($J166)/(Cap_Tech*$C166*(1-$I166)))-Model!$G$15)))*OTCost_Tech)+((MIN(OTCapPct*Model!$G$25,MAX(0,(($K166*(1+0.5*Acuity_E))/(Cap_Doc*$C166*(1-$G166)))-Model!$G$25)))*OTCost_Doc)+((MIN(OTCapPct*Model!$G$7,MAX(0,(($K166)/(Cap_Nurse*$C166*(1-$H166)))-Model!$G$7)))*OTCost_Nurse)+((MIN(OTCapPct*Model!$G$16,MAX(0,(($K166)/(Cap_Tech*$C166*(1-$I166)))-Model!$G$16)))*OTCost_Tech)+((MIN(OTCapPct*Model!$G$26,MAX(0,(($L166*(1+0.5*Acuity_N))/(Cap_Doc*$C166*(1-$G166)))-Model!$G$26)))*OTCost_Doc)+((MIN(OTCapPct*Model!$G$8,MAX(0,(($L166)/(Cap_Nurse*$C166*(1-$H166)))-Model!$G$8)))*OTCost_Nurse)+((MIN(OTCapPct*Model!$G$17,MAX(0,(($L166)/(Cap_Tech*$C166*(1-$I166)))-Model!$G$17)))*OTCost_Tech)</f>
        <v>23052.482766953384</v>
      </c>
    </row>
    <row r="167" spans="1:17" x14ac:dyDescent="0.25">
      <c r="A167" s="11">
        <v>163</v>
      </c>
      <c r="B167" s="11" t="str">
        <f t="shared" ca="1" si="24"/>
        <v>Normal</v>
      </c>
      <c r="C167" s="11">
        <f t="shared" ca="1" si="25"/>
        <v>1</v>
      </c>
      <c r="D167" s="11">
        <f t="shared" ca="1" si="26"/>
        <v>0</v>
      </c>
      <c r="E167" s="11">
        <f t="shared" ca="1" si="27"/>
        <v>3</v>
      </c>
      <c r="F167" s="36">
        <f t="shared" ca="1" si="28"/>
        <v>0.80816782861303893</v>
      </c>
      <c r="G167" s="11">
        <f t="shared" ca="1" si="29"/>
        <v>4.1244641652398967E-2</v>
      </c>
      <c r="H167" s="11">
        <f t="shared" ca="1" si="30"/>
        <v>8.420995750612198E-3</v>
      </c>
      <c r="I167" s="11">
        <f t="shared" ca="1" si="31"/>
        <v>7.2978499054176957E-2</v>
      </c>
      <c r="J167" s="11">
        <f t="shared" ca="1" si="32"/>
        <v>103</v>
      </c>
      <c r="K167" s="11">
        <f t="shared" ca="1" si="33"/>
        <v>101</v>
      </c>
      <c r="L167" s="11">
        <f t="shared" ca="1" si="34"/>
        <v>52</v>
      </c>
      <c r="M167" s="11">
        <f ca="1">MAX(MAX(0,($J167*(1+0.5*Acuity_M))-(Model!$G$24*(1+OTCapPct)*(Cap_Doc*$C167*(1-$G167)))),MAX(0,($J167)-(Model!$G$6*(1+OTCapPct)*(Cap_Nurse*$C167*(1-$H167)))),MAX(0,($J167)-(Model!$G$15*(1+OTCapPct)*(Cap_Tech*$C167*(1-$I167)))),MAX(0,$J167-((BedsCurrent+BedsAdded)*ShiftHours*$F167/BedHr_M)),MAX(0,$J167*Acuity_M-(ImgBase+ImgExpOn*ImgExpAdd)),MAX(0,$J167-(LabBase+LabExpOn*LabExpAdd)))</f>
        <v>8</v>
      </c>
      <c r="N167" s="11">
        <f ca="1">MAX(MAX(0,($K167*(1+0.5*Acuity_E))-(Model!$G$25*(1+OTCapPct)*(Cap_Doc*$C167*(1-$G167)))),MAX(0,($K167)-(Model!$G$7*(1+OTCapPct)*(Cap_Nurse*$C167*(1-$H167)))),MAX(0,($K167)-(Model!$G$16*(1+OTCapPct)*(Cap_Tech*$C167*(1-$I167)))),MAX(0,$K167-((BedsCurrent+BedsAdded)*ShiftHours*$F167/BedHr_E)),MAX(0,$K167*Acuity_E-(ImgBase+ImgExpOn*ImgExpAdd)),MAX(0,$K167-(LabBase+LabExpOn*LabExpAdd)))</f>
        <v>13.071340246901372</v>
      </c>
      <c r="O167" s="11">
        <f ca="1">MAX(MAX(0,($L167*(1+0.5*Acuity_N))-(Model!$G$26*(1+OTCapPct)*(Cap_Doc*$C167*(1-$G167)))),MAX(0,($L167)-(Model!$G$8*(1+OTCapPct)*(Cap_Nurse*$C167*(1-$H167)))),MAX(0,($L167)-(Model!$G$17*(1+OTCapPct)*(Cap_Tech*$C167*(1-$I167)))),MAX(0,$L167-((BedsCurrent+BedsAdded)*ShiftHours*$F167/BedHr_N)),MAX(0,$L167*Acuity_N-(ImgBase+ImgExpOn*ImgExpAdd)),MAX(0,$L167-(LabBase+LabExpOn*LabExpAdd)))</f>
        <v>0</v>
      </c>
      <c r="P167" s="11">
        <f t="shared" ca="1" si="35"/>
        <v>21.071340246901372</v>
      </c>
      <c r="Q167" s="17">
        <f ca="1">((MIN(OTCapPct*Model!$G$24,MAX(0,(($J167*(1+0.5*Acuity_M))/(Cap_Doc*$C167*(1-$G167)))-Model!$G$24)))*OTCost_Doc)+((MIN(OTCapPct*Model!$G$6,MAX(0,(($J167)/(Cap_Nurse*$C167*(1-$H167)))-Model!$G$6)))*OTCost_Nurse)+((MIN(OTCapPct*Model!$G$15,MAX(0,(($J167)/(Cap_Tech*$C167*(1-$I167)))-Model!$G$15)))*OTCost_Tech)+((MIN(OTCapPct*Model!$G$25,MAX(0,(($K167*(1+0.5*Acuity_E))/(Cap_Doc*$C167*(1-$G167)))-Model!$G$25)))*OTCost_Doc)+((MIN(OTCapPct*Model!$G$7,MAX(0,(($K167)/(Cap_Nurse*$C167*(1-$H167)))-Model!$G$7)))*OTCost_Nurse)+((MIN(OTCapPct*Model!$G$16,MAX(0,(($K167)/(Cap_Tech*$C167*(1-$I167)))-Model!$G$16)))*OTCost_Tech)+((MIN(OTCapPct*Model!$G$26,MAX(0,(($L167*(1+0.5*Acuity_N))/(Cap_Doc*$C167*(1-$G167)))-Model!$G$26)))*OTCost_Doc)+((MIN(OTCapPct*Model!$G$8,MAX(0,(($L167)/(Cap_Nurse*$C167*(1-$H167)))-Model!$G$8)))*OTCost_Nurse)+((MIN(OTCapPct*Model!$G$17,MAX(0,(($L167)/(Cap_Tech*$C167*(1-$I167)))-Model!$G$17)))*OTCost_Tech)</f>
        <v>31158.567025770248</v>
      </c>
    </row>
    <row r="168" spans="1:17" x14ac:dyDescent="0.25">
      <c r="A168" s="11">
        <v>164</v>
      </c>
      <c r="B168" s="11" t="str">
        <f t="shared" ca="1" si="24"/>
        <v>Severe</v>
      </c>
      <c r="C168" s="11">
        <f t="shared" ca="1" si="25"/>
        <v>0.8</v>
      </c>
      <c r="D168" s="11">
        <f t="shared" ca="1" si="26"/>
        <v>0</v>
      </c>
      <c r="E168" s="11">
        <f t="shared" ca="1" si="27"/>
        <v>3</v>
      </c>
      <c r="F168" s="36">
        <f t="shared" ca="1" si="28"/>
        <v>1.0918735003327764</v>
      </c>
      <c r="G168" s="11">
        <f t="shared" ca="1" si="29"/>
        <v>6.0376207176637206E-3</v>
      </c>
      <c r="H168" s="11">
        <f t="shared" ca="1" si="30"/>
        <v>0</v>
      </c>
      <c r="I168" s="11">
        <f t="shared" ca="1" si="31"/>
        <v>0.10932833055508287</v>
      </c>
      <c r="J168" s="11">
        <f t="shared" ca="1" si="32"/>
        <v>78</v>
      </c>
      <c r="K168" s="11">
        <f t="shared" ca="1" si="33"/>
        <v>107</v>
      </c>
      <c r="L168" s="11">
        <f t="shared" ca="1" si="34"/>
        <v>59</v>
      </c>
      <c r="M168" s="11">
        <f ca="1">MAX(MAX(0,($J168*(1+0.5*Acuity_M))-(Model!$G$24*(1+OTCapPct)*(Cap_Doc*$C168*(1-$G168)))),MAX(0,($J168)-(Model!$G$6*(1+OTCapPct)*(Cap_Nurse*$C168*(1-$H168)))),MAX(0,($J168)-(Model!$G$15*(1+OTCapPct)*(Cap_Tech*$C168*(1-$I168)))),MAX(0,$J168-((BedsCurrent+BedsAdded)*ShiftHours*$F168/BedHr_M)),MAX(0,$J168*Acuity_M-(ImgBase+ImgExpOn*ImgExpAdd)),MAX(0,$J168-(LabBase+LabExpOn*LabExpAdd)))</f>
        <v>0</v>
      </c>
      <c r="N168" s="11">
        <f ca="1">MAX(MAX(0,($K168*(1+0.5*Acuity_E))-(Model!$G$25*(1+OTCapPct)*(Cap_Doc*$C168*(1-$G168)))),MAX(0,($K168)-(Model!$G$7*(1+OTCapPct)*(Cap_Nurse*$C168*(1-$H168)))),MAX(0,($K168)-(Model!$G$16*(1+OTCapPct)*(Cap_Tech*$C168*(1-$I168)))),MAX(0,$K168-((BedsCurrent+BedsAdded)*ShiftHours*$F168/BedHr_E)),MAX(0,$K168*Acuity_E-(ImgBase+ImgExpOn*ImgExpAdd)),MAX(0,$K168-(LabBase+LabExpOn*LabExpAdd)))</f>
        <v>12</v>
      </c>
      <c r="O168" s="11">
        <f ca="1">MAX(MAX(0,($L168*(1+0.5*Acuity_N))-(Model!$G$26*(1+OTCapPct)*(Cap_Doc*$C168*(1-$G168)))),MAX(0,($L168)-(Model!$G$8*(1+OTCapPct)*(Cap_Nurse*$C168*(1-$H168)))),MAX(0,($L168)-(Model!$G$17*(1+OTCapPct)*(Cap_Tech*$C168*(1-$I168)))),MAX(0,$L168-((BedsCurrent+BedsAdded)*ShiftHours*$F168/BedHr_N)),MAX(0,$L168*Acuity_N-(ImgBase+ImgExpOn*ImgExpAdd)),MAX(0,$L168-(LabBase+LabExpOn*LabExpAdd)))</f>
        <v>0</v>
      </c>
      <c r="P168" s="11">
        <f t="shared" ca="1" si="35"/>
        <v>12</v>
      </c>
      <c r="Q168" s="17">
        <f ca="1">((MIN(OTCapPct*Model!$G$24,MAX(0,(($J168*(1+0.5*Acuity_M))/(Cap_Doc*$C168*(1-$G168)))-Model!$G$24)))*OTCost_Doc)+((MIN(OTCapPct*Model!$G$6,MAX(0,(($J168)/(Cap_Nurse*$C168*(1-$H168)))-Model!$G$6)))*OTCost_Nurse)+((MIN(OTCapPct*Model!$G$15,MAX(0,(($J168)/(Cap_Tech*$C168*(1-$I168)))-Model!$G$15)))*OTCost_Tech)+((MIN(OTCapPct*Model!$G$25,MAX(0,(($K168*(1+0.5*Acuity_E))/(Cap_Doc*$C168*(1-$G168)))-Model!$G$25)))*OTCost_Doc)+((MIN(OTCapPct*Model!$G$7,MAX(0,(($K168)/(Cap_Nurse*$C168*(1-$H168)))-Model!$G$7)))*OTCost_Nurse)+((MIN(OTCapPct*Model!$G$16,MAX(0,(($K168)/(Cap_Tech*$C168*(1-$I168)))-Model!$G$16)))*OTCost_Tech)+((MIN(OTCapPct*Model!$G$26,MAX(0,(($L168*(1+0.5*Acuity_N))/(Cap_Doc*$C168*(1-$G168)))-Model!$G$26)))*OTCost_Doc)+((MIN(OTCapPct*Model!$G$8,MAX(0,(($L168)/(Cap_Nurse*$C168*(1-$H168)))-Model!$G$8)))*OTCost_Nurse)+((MIN(OTCapPct*Model!$G$17,MAX(0,(($L168)/(Cap_Tech*$C168*(1-$I168)))-Model!$G$17)))*OTCost_Tech)</f>
        <v>68661.424974322057</v>
      </c>
    </row>
    <row r="169" spans="1:17" x14ac:dyDescent="0.25">
      <c r="A169" s="11">
        <v>165</v>
      </c>
      <c r="B169" s="11" t="str">
        <f t="shared" ca="1" si="24"/>
        <v>Normal</v>
      </c>
      <c r="C169" s="11">
        <f t="shared" ca="1" si="25"/>
        <v>1</v>
      </c>
      <c r="D169" s="11">
        <f t="shared" ca="1" si="26"/>
        <v>0</v>
      </c>
      <c r="E169" s="11">
        <f t="shared" ca="1" si="27"/>
        <v>3</v>
      </c>
      <c r="F169" s="36">
        <f t="shared" ca="1" si="28"/>
        <v>1.0556386311513155</v>
      </c>
      <c r="G169" s="11">
        <f t="shared" ca="1" si="29"/>
        <v>0</v>
      </c>
      <c r="H169" s="11">
        <f t="shared" ca="1" si="30"/>
        <v>7.2289340035836383E-2</v>
      </c>
      <c r="I169" s="11">
        <f t="shared" ca="1" si="31"/>
        <v>3.1619325946088572E-2</v>
      </c>
      <c r="J169" s="11">
        <f t="shared" ca="1" si="32"/>
        <v>96</v>
      </c>
      <c r="K169" s="11">
        <f t="shared" ca="1" si="33"/>
        <v>102</v>
      </c>
      <c r="L169" s="11">
        <f t="shared" ca="1" si="34"/>
        <v>59</v>
      </c>
      <c r="M169" s="11">
        <f ca="1">MAX(MAX(0,($J169*(1+0.5*Acuity_M))-(Model!$G$24*(1+OTCapPct)*(Cap_Doc*$C169*(1-$G169)))),MAX(0,($J169)-(Model!$G$6*(1+OTCapPct)*(Cap_Nurse*$C169*(1-$H169)))),MAX(0,($J169)-(Model!$G$15*(1+OTCapPct)*(Cap_Tech*$C169*(1-$I169)))),MAX(0,$J169-((BedsCurrent+BedsAdded)*ShiftHours*$F169/BedHr_M)),MAX(0,$J169*Acuity_M-(ImgBase+ImgExpOn*ImgExpAdd)),MAX(0,$J169-(LabBase+LabExpOn*LabExpAdd)))</f>
        <v>1</v>
      </c>
      <c r="N169" s="11">
        <f ca="1">MAX(MAX(0,($K169*(1+0.5*Acuity_E))-(Model!$G$25*(1+OTCapPct)*(Cap_Doc*$C169*(1-$G169)))),MAX(0,($K169)-(Model!$G$7*(1+OTCapPct)*(Cap_Nurse*$C169*(1-$H169)))),MAX(0,($K169)-(Model!$G$16*(1+OTCapPct)*(Cap_Tech*$C169*(1-$I169)))),MAX(0,$K169-((BedsCurrent+BedsAdded)*ShiftHours*$F169/BedHr_E)),MAX(0,$K169*Acuity_E-(ImgBase+ImgExpOn*ImgExpAdd)),MAX(0,$K169-(LabBase+LabExpOn*LabExpAdd)))</f>
        <v>7</v>
      </c>
      <c r="O169" s="11">
        <f ca="1">MAX(MAX(0,($L169*(1+0.5*Acuity_N))-(Model!$G$26*(1+OTCapPct)*(Cap_Doc*$C169*(1-$G169)))),MAX(0,($L169)-(Model!$G$8*(1+OTCapPct)*(Cap_Nurse*$C169*(1-$H169)))),MAX(0,($L169)-(Model!$G$17*(1+OTCapPct)*(Cap_Tech*$C169*(1-$I169)))),MAX(0,$L169-((BedsCurrent+BedsAdded)*ShiftHours*$F169/BedHr_N)),MAX(0,$L169*Acuity_N-(ImgBase+ImgExpOn*ImgExpAdd)),MAX(0,$L169-(LabBase+LabExpOn*LabExpAdd)))</f>
        <v>0</v>
      </c>
      <c r="P169" s="11">
        <f t="shared" ca="1" si="35"/>
        <v>8</v>
      </c>
      <c r="Q169" s="17">
        <f ca="1">((MIN(OTCapPct*Model!$G$24,MAX(0,(($J169*(1+0.5*Acuity_M))/(Cap_Doc*$C169*(1-$G169)))-Model!$G$24)))*OTCost_Doc)+((MIN(OTCapPct*Model!$G$6,MAX(0,(($J169)/(Cap_Nurse*$C169*(1-$H169)))-Model!$G$6)))*OTCost_Nurse)+((MIN(OTCapPct*Model!$G$15,MAX(0,(($J169)/(Cap_Tech*$C169*(1-$I169)))-Model!$G$15)))*OTCost_Tech)+((MIN(OTCapPct*Model!$G$25,MAX(0,(($K169*(1+0.5*Acuity_E))/(Cap_Doc*$C169*(1-$G169)))-Model!$G$25)))*OTCost_Doc)+((MIN(OTCapPct*Model!$G$7,MAX(0,(($K169)/(Cap_Nurse*$C169*(1-$H169)))-Model!$G$7)))*OTCost_Nurse)+((MIN(OTCapPct*Model!$G$16,MAX(0,(($K169)/(Cap_Tech*$C169*(1-$I169)))-Model!$G$16)))*OTCost_Tech)+((MIN(OTCapPct*Model!$G$26,MAX(0,(($L169*(1+0.5*Acuity_N))/(Cap_Doc*$C169*(1-$G169)))-Model!$G$26)))*OTCost_Doc)+((MIN(OTCapPct*Model!$G$8,MAX(0,(($L169)/(Cap_Nurse*$C169*(1-$H169)))-Model!$G$8)))*OTCost_Nurse)+((MIN(OTCapPct*Model!$G$17,MAX(0,(($L169)/(Cap_Tech*$C169*(1-$I169)))-Model!$G$17)))*OTCost_Tech)</f>
        <v>24494.38717101431</v>
      </c>
    </row>
    <row r="170" spans="1:17" x14ac:dyDescent="0.25">
      <c r="A170" s="11">
        <v>166</v>
      </c>
      <c r="B170" s="11" t="str">
        <f t="shared" ca="1" si="24"/>
        <v>Normal</v>
      </c>
      <c r="C170" s="11">
        <f t="shared" ca="1" si="25"/>
        <v>1</v>
      </c>
      <c r="D170" s="11">
        <f t="shared" ca="1" si="26"/>
        <v>0</v>
      </c>
      <c r="E170" s="11">
        <f t="shared" ca="1" si="27"/>
        <v>1</v>
      </c>
      <c r="F170" s="36">
        <f t="shared" ca="1" si="28"/>
        <v>1.0593080276104268</v>
      </c>
      <c r="G170" s="11">
        <f t="shared" ca="1" si="29"/>
        <v>7.7580193104273568E-2</v>
      </c>
      <c r="H170" s="11">
        <f t="shared" ca="1" si="30"/>
        <v>0</v>
      </c>
      <c r="I170" s="11">
        <f t="shared" ca="1" si="31"/>
        <v>5.6976781954164744E-2</v>
      </c>
      <c r="J170" s="11">
        <f t="shared" ca="1" si="32"/>
        <v>74</v>
      </c>
      <c r="K170" s="11">
        <f t="shared" ca="1" si="33"/>
        <v>134</v>
      </c>
      <c r="L170" s="11">
        <f t="shared" ca="1" si="34"/>
        <v>70</v>
      </c>
      <c r="M170" s="11">
        <f ca="1">MAX(MAX(0,($J170*(1+0.5*Acuity_M))-(Model!$G$24*(1+OTCapPct)*(Cap_Doc*$C170*(1-$G170)))),MAX(0,($J170)-(Model!$G$6*(1+OTCapPct)*(Cap_Nurse*$C170*(1-$H170)))),MAX(0,($J170)-(Model!$G$15*(1+OTCapPct)*(Cap_Tech*$C170*(1-$I170)))),MAX(0,$J170-((BedsCurrent+BedsAdded)*ShiftHours*$F170/BedHr_M)),MAX(0,$J170*Acuity_M-(ImgBase+ImgExpOn*ImgExpAdd)),MAX(0,$J170-(LabBase+LabExpOn*LabExpAdd)))</f>
        <v>0</v>
      </c>
      <c r="N170" s="11">
        <f ca="1">MAX(MAX(0,($K170*(1+0.5*Acuity_E))-(Model!$G$25*(1+OTCapPct)*(Cap_Doc*$C170*(1-$G170)))),MAX(0,($K170)-(Model!$G$7*(1+OTCapPct)*(Cap_Nurse*$C170*(1-$H170)))),MAX(0,($K170)-(Model!$G$16*(1+OTCapPct)*(Cap_Tech*$C170*(1-$I170)))),MAX(0,$K170-((BedsCurrent+BedsAdded)*ShiftHours*$F170/BedHr_E)),MAX(0,$K170*Acuity_E-(ImgBase+ImgExpOn*ImgExpAdd)),MAX(0,$K170-(LabBase+LabExpOn*LabExpAdd)))</f>
        <v>39</v>
      </c>
      <c r="O170" s="11">
        <f ca="1">MAX(MAX(0,($L170*(1+0.5*Acuity_N))-(Model!$G$26*(1+OTCapPct)*(Cap_Doc*$C170*(1-$G170)))),MAX(0,($L170)-(Model!$G$8*(1+OTCapPct)*(Cap_Nurse*$C170*(1-$H170)))),MAX(0,($L170)-(Model!$G$17*(1+OTCapPct)*(Cap_Tech*$C170*(1-$I170)))),MAX(0,$L170-((BedsCurrent+BedsAdded)*ShiftHours*$F170/BedHr_N)),MAX(0,$L170*Acuity_N-(ImgBase+ImgExpOn*ImgExpAdd)),MAX(0,$L170-(LabBase+LabExpOn*LabExpAdd)))</f>
        <v>0</v>
      </c>
      <c r="P170" s="11">
        <f t="shared" ca="1" si="35"/>
        <v>39</v>
      </c>
      <c r="Q170" s="17">
        <f ca="1">((MIN(OTCapPct*Model!$G$24,MAX(0,(($J170*(1+0.5*Acuity_M))/(Cap_Doc*$C170*(1-$G170)))-Model!$G$24)))*OTCost_Doc)+((MIN(OTCapPct*Model!$G$6,MAX(0,(($J170)/(Cap_Nurse*$C170*(1-$H170)))-Model!$G$6)))*OTCost_Nurse)+((MIN(OTCapPct*Model!$G$15,MAX(0,(($J170)/(Cap_Tech*$C170*(1-$I170)))-Model!$G$15)))*OTCost_Tech)+((MIN(OTCapPct*Model!$G$25,MAX(0,(($K170*(1+0.5*Acuity_E))/(Cap_Doc*$C170*(1-$G170)))-Model!$G$25)))*OTCost_Doc)+((MIN(OTCapPct*Model!$G$7,MAX(0,(($K170)/(Cap_Nurse*$C170*(1-$H170)))-Model!$G$7)))*OTCost_Nurse)+((MIN(OTCapPct*Model!$G$16,MAX(0,(($K170)/(Cap_Tech*$C170*(1-$I170)))-Model!$G$16)))*OTCost_Tech)+((MIN(OTCapPct*Model!$G$26,MAX(0,(($L170*(1+0.5*Acuity_N))/(Cap_Doc*$C170*(1-$G170)))-Model!$G$26)))*OTCost_Doc)+((MIN(OTCapPct*Model!$G$8,MAX(0,(($L170)/(Cap_Nurse*$C170*(1-$H170)))-Model!$G$8)))*OTCost_Nurse)+((MIN(OTCapPct*Model!$G$17,MAX(0,(($L170)/(Cap_Tech*$C170*(1-$I170)))-Model!$G$17)))*OTCost_Tech)</f>
        <v>46343.87484160735</v>
      </c>
    </row>
    <row r="171" spans="1:17" x14ac:dyDescent="0.25">
      <c r="A171" s="11">
        <v>167</v>
      </c>
      <c r="B171" s="11" t="str">
        <f t="shared" ca="1" si="24"/>
        <v>Normal</v>
      </c>
      <c r="C171" s="11">
        <f t="shared" ca="1" si="25"/>
        <v>1</v>
      </c>
      <c r="D171" s="11">
        <f t="shared" ca="1" si="26"/>
        <v>0</v>
      </c>
      <c r="E171" s="11">
        <f t="shared" ca="1" si="27"/>
        <v>2</v>
      </c>
      <c r="F171" s="36">
        <f t="shared" ca="1" si="28"/>
        <v>1.0579535379698219</v>
      </c>
      <c r="G171" s="11">
        <f t="shared" ca="1" si="29"/>
        <v>3.6615664183418217E-2</v>
      </c>
      <c r="H171" s="11">
        <f t="shared" ca="1" si="30"/>
        <v>1.8479475255656387E-2</v>
      </c>
      <c r="I171" s="11">
        <f t="shared" ca="1" si="31"/>
        <v>3.1164308579981839E-2</v>
      </c>
      <c r="J171" s="11">
        <f t="shared" ca="1" si="32"/>
        <v>69</v>
      </c>
      <c r="K171" s="11">
        <f t="shared" ca="1" si="33"/>
        <v>112</v>
      </c>
      <c r="L171" s="11">
        <f t="shared" ca="1" si="34"/>
        <v>64</v>
      </c>
      <c r="M171" s="11">
        <f ca="1">MAX(MAX(0,($J171*(1+0.5*Acuity_M))-(Model!$G$24*(1+OTCapPct)*(Cap_Doc*$C171*(1-$G171)))),MAX(0,($J171)-(Model!$G$6*(1+OTCapPct)*(Cap_Nurse*$C171*(1-$H171)))),MAX(0,($J171)-(Model!$G$15*(1+OTCapPct)*(Cap_Tech*$C171*(1-$I171)))),MAX(0,$J171-((BedsCurrent+BedsAdded)*ShiftHours*$F171/BedHr_M)),MAX(0,$J171*Acuity_M-(ImgBase+ImgExpOn*ImgExpAdd)),MAX(0,$J171-(LabBase+LabExpOn*LabExpAdd)))</f>
        <v>0</v>
      </c>
      <c r="N171" s="11">
        <f ca="1">MAX(MAX(0,($K171*(1+0.5*Acuity_E))-(Model!$G$25*(1+OTCapPct)*(Cap_Doc*$C171*(1-$G171)))),MAX(0,($K171)-(Model!$G$7*(1+OTCapPct)*(Cap_Nurse*$C171*(1-$H171)))),MAX(0,($K171)-(Model!$G$16*(1+OTCapPct)*(Cap_Tech*$C171*(1-$I171)))),MAX(0,$K171-((BedsCurrent+BedsAdded)*ShiftHours*$F171/BedHr_E)),MAX(0,$K171*Acuity_E-(ImgBase+ImgExpOn*ImgExpAdd)),MAX(0,$K171-(LabBase+LabExpOn*LabExpAdd)))</f>
        <v>17</v>
      </c>
      <c r="O171" s="11">
        <f ca="1">MAX(MAX(0,($L171*(1+0.5*Acuity_N))-(Model!$G$26*(1+OTCapPct)*(Cap_Doc*$C171*(1-$G171)))),MAX(0,($L171)-(Model!$G$8*(1+OTCapPct)*(Cap_Nurse*$C171*(1-$H171)))),MAX(0,($L171)-(Model!$G$17*(1+OTCapPct)*(Cap_Tech*$C171*(1-$I171)))),MAX(0,$L171-((BedsCurrent+BedsAdded)*ShiftHours*$F171/BedHr_N)),MAX(0,$L171*Acuity_N-(ImgBase+ImgExpOn*ImgExpAdd)),MAX(0,$L171-(LabBase+LabExpOn*LabExpAdd)))</f>
        <v>0</v>
      </c>
      <c r="P171" s="11">
        <f t="shared" ca="1" si="35"/>
        <v>17</v>
      </c>
      <c r="Q171" s="17">
        <f ca="1">((MIN(OTCapPct*Model!$G$24,MAX(0,(($J171*(1+0.5*Acuity_M))/(Cap_Doc*$C171*(1-$G171)))-Model!$G$24)))*OTCost_Doc)+((MIN(OTCapPct*Model!$G$6,MAX(0,(($J171)/(Cap_Nurse*$C171*(1-$H171)))-Model!$G$6)))*OTCost_Nurse)+((MIN(OTCapPct*Model!$G$15,MAX(0,(($J171)/(Cap_Tech*$C171*(1-$I171)))-Model!$G$15)))*OTCost_Tech)+((MIN(OTCapPct*Model!$G$25,MAX(0,(($K171*(1+0.5*Acuity_E))/(Cap_Doc*$C171*(1-$G171)))-Model!$G$25)))*OTCost_Doc)+((MIN(OTCapPct*Model!$G$7,MAX(0,(($K171)/(Cap_Nurse*$C171*(1-$H171)))-Model!$G$7)))*OTCost_Nurse)+((MIN(OTCapPct*Model!$G$16,MAX(0,(($K171)/(Cap_Tech*$C171*(1-$I171)))-Model!$G$16)))*OTCost_Tech)+((MIN(OTCapPct*Model!$G$26,MAX(0,(($L171*(1+0.5*Acuity_N))/(Cap_Doc*$C171*(1-$G171)))-Model!$G$26)))*OTCost_Doc)+((MIN(OTCapPct*Model!$G$8,MAX(0,(($L171)/(Cap_Nurse*$C171*(1-$H171)))-Model!$G$8)))*OTCost_Nurse)+((MIN(OTCapPct*Model!$G$17,MAX(0,(($L171)/(Cap_Tech*$C171*(1-$I171)))-Model!$G$17)))*OTCost_Tech)</f>
        <v>8197.5861944481385</v>
      </c>
    </row>
    <row r="172" spans="1:17" x14ac:dyDescent="0.25">
      <c r="A172" s="11">
        <v>168</v>
      </c>
      <c r="B172" s="11" t="str">
        <f t="shared" ca="1" si="24"/>
        <v>Normal</v>
      </c>
      <c r="C172" s="11">
        <f t="shared" ca="1" si="25"/>
        <v>1</v>
      </c>
      <c r="D172" s="11">
        <f t="shared" ca="1" si="26"/>
        <v>0</v>
      </c>
      <c r="E172" s="11">
        <f t="shared" ca="1" si="27"/>
        <v>2</v>
      </c>
      <c r="F172" s="36">
        <f t="shared" ca="1" si="28"/>
        <v>1.1256562500643315</v>
      </c>
      <c r="G172" s="11">
        <f t="shared" ca="1" si="29"/>
        <v>0.15781623394177083</v>
      </c>
      <c r="H172" s="11">
        <f t="shared" ca="1" si="30"/>
        <v>5.7964067187390243E-2</v>
      </c>
      <c r="I172" s="11">
        <f t="shared" ca="1" si="31"/>
        <v>0.11335507935232862</v>
      </c>
      <c r="J172" s="11">
        <f t="shared" ca="1" si="32"/>
        <v>81</v>
      </c>
      <c r="K172" s="11">
        <f t="shared" ca="1" si="33"/>
        <v>151</v>
      </c>
      <c r="L172" s="11">
        <f t="shared" ca="1" si="34"/>
        <v>76</v>
      </c>
      <c r="M172" s="11">
        <f ca="1">MAX(MAX(0,($J172*(1+0.5*Acuity_M))-(Model!$G$24*(1+OTCapPct)*(Cap_Doc*$C172*(1-$G172)))),MAX(0,($J172)-(Model!$G$6*(1+OTCapPct)*(Cap_Nurse*$C172*(1-$H172)))),MAX(0,($J172)-(Model!$G$15*(1+OTCapPct)*(Cap_Tech*$C172*(1-$I172)))),MAX(0,$J172-((BedsCurrent+BedsAdded)*ShiftHours*$F172/BedHr_M)),MAX(0,$J172*Acuity_M-(ImgBase+ImgExpOn*ImgExpAdd)),MAX(0,$J172-(LabBase+LabExpOn*LabExpAdd)))</f>
        <v>0</v>
      </c>
      <c r="N172" s="11">
        <f ca="1">MAX(MAX(0,($K172*(1+0.5*Acuity_E))-(Model!$G$25*(1+OTCapPct)*(Cap_Doc*$C172*(1-$G172)))),MAX(0,($K172)-(Model!$G$7*(1+OTCapPct)*(Cap_Nurse*$C172*(1-$H172)))),MAX(0,($K172)-(Model!$G$16*(1+OTCapPct)*(Cap_Tech*$C172*(1-$I172)))),MAX(0,$K172-((BedsCurrent+BedsAdded)*ShiftHours*$F172/BedHr_E)),MAX(0,$K172*Acuity_E-(ImgBase+ImgExpOn*ImgExpAdd)),MAX(0,$K172-(LabBase+LabExpOn*LabExpAdd)))</f>
        <v>56</v>
      </c>
      <c r="O172" s="11">
        <f ca="1">MAX(MAX(0,($L172*(1+0.5*Acuity_N))-(Model!$G$26*(1+OTCapPct)*(Cap_Doc*$C172*(1-$G172)))),MAX(0,($L172)-(Model!$G$8*(1+OTCapPct)*(Cap_Nurse*$C172*(1-$H172)))),MAX(0,($L172)-(Model!$G$17*(1+OTCapPct)*(Cap_Tech*$C172*(1-$I172)))),MAX(0,$L172-((BedsCurrent+BedsAdded)*ShiftHours*$F172/BedHr_N)),MAX(0,$L172*Acuity_N-(ImgBase+ImgExpOn*ImgExpAdd)),MAX(0,$L172-(LabBase+LabExpOn*LabExpAdd)))</f>
        <v>11.603461054759364</v>
      </c>
      <c r="P172" s="11">
        <f t="shared" ca="1" si="35"/>
        <v>67.603461054759364</v>
      </c>
      <c r="Q172" s="17">
        <f ca="1">((MIN(OTCapPct*Model!$G$24,MAX(0,(($J172*(1+0.5*Acuity_M))/(Cap_Doc*$C172*(1-$G172)))-Model!$G$24)))*OTCost_Doc)+((MIN(OTCapPct*Model!$G$6,MAX(0,(($J172)/(Cap_Nurse*$C172*(1-$H172)))-Model!$G$6)))*OTCost_Nurse)+((MIN(OTCapPct*Model!$G$15,MAX(0,(($J172)/(Cap_Tech*$C172*(1-$I172)))-Model!$G$15)))*OTCost_Tech)+((MIN(OTCapPct*Model!$G$25,MAX(0,(($K172*(1+0.5*Acuity_E))/(Cap_Doc*$C172*(1-$G172)))-Model!$G$25)))*OTCost_Doc)+((MIN(OTCapPct*Model!$G$7,MAX(0,(($K172)/(Cap_Nurse*$C172*(1-$H172)))-Model!$G$7)))*OTCost_Nurse)+((MIN(OTCapPct*Model!$G$16,MAX(0,(($K172)/(Cap_Tech*$C172*(1-$I172)))-Model!$G$16)))*OTCost_Tech)+((MIN(OTCapPct*Model!$G$26,MAX(0,(($L172*(1+0.5*Acuity_N))/(Cap_Doc*$C172*(1-$G172)))-Model!$G$26)))*OTCost_Doc)+((MIN(OTCapPct*Model!$G$8,MAX(0,(($L172)/(Cap_Nurse*$C172*(1-$H172)))-Model!$G$8)))*OTCost_Nurse)+((MIN(OTCapPct*Model!$G$17,MAX(0,(($L172)/(Cap_Tech*$C172*(1-$I172)))-Model!$G$17)))*OTCost_Tech)</f>
        <v>76943.90115343318</v>
      </c>
    </row>
    <row r="173" spans="1:17" x14ac:dyDescent="0.25">
      <c r="A173" s="11">
        <v>169</v>
      </c>
      <c r="B173" s="11" t="str">
        <f t="shared" ca="1" si="24"/>
        <v>Severe</v>
      </c>
      <c r="C173" s="11">
        <f t="shared" ca="1" si="25"/>
        <v>0.8</v>
      </c>
      <c r="D173" s="11">
        <f t="shared" ca="1" si="26"/>
        <v>0</v>
      </c>
      <c r="E173" s="11">
        <f t="shared" ca="1" si="27"/>
        <v>3</v>
      </c>
      <c r="F173" s="36">
        <f t="shared" ca="1" si="28"/>
        <v>0.93551341540955879</v>
      </c>
      <c r="G173" s="11">
        <f t="shared" ca="1" si="29"/>
        <v>7.8029540769005562E-3</v>
      </c>
      <c r="H173" s="11">
        <f t="shared" ca="1" si="30"/>
        <v>0.11556014193374886</v>
      </c>
      <c r="I173" s="11">
        <f t="shared" ca="1" si="31"/>
        <v>0.12818635778606938</v>
      </c>
      <c r="J173" s="11">
        <f t="shared" ca="1" si="32"/>
        <v>87</v>
      </c>
      <c r="K173" s="11">
        <f t="shared" ca="1" si="33"/>
        <v>125</v>
      </c>
      <c r="L173" s="11">
        <f t="shared" ca="1" si="34"/>
        <v>58</v>
      </c>
      <c r="M173" s="11">
        <f ca="1">MAX(MAX(0,($J173*(1+0.5*Acuity_M))-(Model!$G$24*(1+OTCapPct)*(Cap_Doc*$C173*(1-$G173)))),MAX(0,($J173)-(Model!$G$6*(1+OTCapPct)*(Cap_Nurse*$C173*(1-$H173)))),MAX(0,($J173)-(Model!$G$15*(1+OTCapPct)*(Cap_Tech*$C173*(1-$I173)))),MAX(0,$J173-((BedsCurrent+BedsAdded)*ShiftHours*$F173/BedHr_M)),MAX(0,$J173*Acuity_M-(ImgBase+ImgExpOn*ImgExpAdd)),MAX(0,$J173-(LabBase+LabExpOn*LabExpAdd)))</f>
        <v>12.7070519224349</v>
      </c>
      <c r="N173" s="11">
        <f ca="1">MAX(MAX(0,($K173*(1+0.5*Acuity_E))-(Model!$G$25*(1+OTCapPct)*(Cap_Doc*$C173*(1-$G173)))),MAX(0,($K173)-(Model!$G$7*(1+OTCapPct)*(Cap_Nurse*$C173*(1-$H173)))),MAX(0,($K173)-(Model!$G$16*(1+OTCapPct)*(Cap_Tech*$C173*(1-$I173)))),MAX(0,$K173-((BedsCurrent+BedsAdded)*ShiftHours*$F173/BedHr_E)),MAX(0,$K173*Acuity_E-(ImgBase+ImgExpOn*ImgExpAdd)),MAX(0,$K173-(LabBase+LabExpOn*LabExpAdd)))</f>
        <v>30</v>
      </c>
      <c r="O173" s="11">
        <f ca="1">MAX(MAX(0,($L173*(1+0.5*Acuity_N))-(Model!$G$26*(1+OTCapPct)*(Cap_Doc*$C173*(1-$G173)))),MAX(0,($L173)-(Model!$G$8*(1+OTCapPct)*(Cap_Nurse*$C173*(1-$H173)))),MAX(0,($L173)-(Model!$G$17*(1+OTCapPct)*(Cap_Tech*$C173*(1-$I173)))),MAX(0,$L173-((BedsCurrent+BedsAdded)*ShiftHours*$F173/BedHr_N)),MAX(0,$L173*Acuity_N-(ImgBase+ImgExpOn*ImgExpAdd)),MAX(0,$L173-(LabBase+LabExpOn*LabExpAdd)))</f>
        <v>0</v>
      </c>
      <c r="P173" s="11">
        <f t="shared" ca="1" si="35"/>
        <v>42.7070519224349</v>
      </c>
      <c r="Q173" s="17">
        <f ca="1">((MIN(OTCapPct*Model!$G$24,MAX(0,(($J173*(1+0.5*Acuity_M))/(Cap_Doc*$C173*(1-$G173)))-Model!$G$24)))*OTCost_Doc)+((MIN(OTCapPct*Model!$G$6,MAX(0,(($J173)/(Cap_Nurse*$C173*(1-$H173)))-Model!$G$6)))*OTCost_Nurse)+((MIN(OTCapPct*Model!$G$15,MAX(0,(($J173)/(Cap_Tech*$C173*(1-$I173)))-Model!$G$15)))*OTCost_Tech)+((MIN(OTCapPct*Model!$G$25,MAX(0,(($K173*(1+0.5*Acuity_E))/(Cap_Doc*$C173*(1-$G173)))-Model!$G$25)))*OTCost_Doc)+((MIN(OTCapPct*Model!$G$7,MAX(0,(($K173)/(Cap_Nurse*$C173*(1-$H173)))-Model!$G$7)))*OTCost_Nurse)+((MIN(OTCapPct*Model!$G$16,MAX(0,(($K173)/(Cap_Tech*$C173*(1-$I173)))-Model!$G$16)))*OTCost_Tech)+((MIN(OTCapPct*Model!$G$26,MAX(0,(($L173*(1+0.5*Acuity_N))/(Cap_Doc*$C173*(1-$G173)))-Model!$G$26)))*OTCost_Doc)+((MIN(OTCapPct*Model!$G$8,MAX(0,(($L173)/(Cap_Nurse*$C173*(1-$H173)))-Model!$G$8)))*OTCost_Nurse)+((MIN(OTCapPct*Model!$G$17,MAX(0,(($L173)/(Cap_Tech*$C173*(1-$I173)))-Model!$G$17)))*OTCost_Tech)</f>
        <v>91299.94192795649</v>
      </c>
    </row>
    <row r="174" spans="1:17" x14ac:dyDescent="0.25">
      <c r="A174" s="11">
        <v>170</v>
      </c>
      <c r="B174" s="11" t="str">
        <f t="shared" ca="1" si="24"/>
        <v>Normal</v>
      </c>
      <c r="C174" s="11">
        <f t="shared" ca="1" si="25"/>
        <v>1</v>
      </c>
      <c r="D174" s="11">
        <f t="shared" ca="1" si="26"/>
        <v>0</v>
      </c>
      <c r="E174" s="11">
        <f t="shared" ca="1" si="27"/>
        <v>2</v>
      </c>
      <c r="F174" s="36">
        <f t="shared" ca="1" si="28"/>
        <v>0.83446338073072579</v>
      </c>
      <c r="G174" s="11">
        <f t="shared" ca="1" si="29"/>
        <v>0</v>
      </c>
      <c r="H174" s="11">
        <f t="shared" ca="1" si="30"/>
        <v>9.8968895187504985E-2</v>
      </c>
      <c r="I174" s="11">
        <f t="shared" ca="1" si="31"/>
        <v>7.0815806171683815E-2</v>
      </c>
      <c r="J174" s="11">
        <f t="shared" ca="1" si="32"/>
        <v>83</v>
      </c>
      <c r="K174" s="11">
        <f t="shared" ca="1" si="33"/>
        <v>128</v>
      </c>
      <c r="L174" s="11">
        <f t="shared" ca="1" si="34"/>
        <v>49</v>
      </c>
      <c r="M174" s="11">
        <f ca="1">MAX(MAX(0,($J174*(1+0.5*Acuity_M))-(Model!$G$24*(1+OTCapPct)*(Cap_Doc*$C174*(1-$G174)))),MAX(0,($J174)-(Model!$G$6*(1+OTCapPct)*(Cap_Nurse*$C174*(1-$H174)))),MAX(0,($J174)-(Model!$G$15*(1+OTCapPct)*(Cap_Tech*$C174*(1-$I174)))),MAX(0,$J174-((BedsCurrent+BedsAdded)*ShiftHours*$F174/BedHr_M)),MAX(0,$J174*Acuity_M-(ImgBase+ImgExpOn*ImgExpAdd)),MAX(0,$J174-(LabBase+LabExpOn*LabExpAdd)))</f>
        <v>0</v>
      </c>
      <c r="N174" s="11">
        <f ca="1">MAX(MAX(0,($K174*(1+0.5*Acuity_E))-(Model!$G$25*(1+OTCapPct)*(Cap_Doc*$C174*(1-$G174)))),MAX(0,($K174)-(Model!$G$7*(1+OTCapPct)*(Cap_Nurse*$C174*(1-$H174)))),MAX(0,($K174)-(Model!$G$16*(1+OTCapPct)*(Cap_Tech*$C174*(1-$I174)))),MAX(0,$K174-((BedsCurrent+BedsAdded)*ShiftHours*$F174/BedHr_E)),MAX(0,$K174*Acuity_E-(ImgBase+ImgExpOn*ImgExpAdd)),MAX(0,$K174-(LabBase+LabExpOn*LabExpAdd)))</f>
        <v>37.21038417649703</v>
      </c>
      <c r="O174" s="11">
        <f ca="1">MAX(MAX(0,($L174*(1+0.5*Acuity_N))-(Model!$G$26*(1+OTCapPct)*(Cap_Doc*$C174*(1-$G174)))),MAX(0,($L174)-(Model!$G$8*(1+OTCapPct)*(Cap_Nurse*$C174*(1-$H174)))),MAX(0,($L174)-(Model!$G$17*(1+OTCapPct)*(Cap_Tech*$C174*(1-$I174)))),MAX(0,$L174-((BedsCurrent+BedsAdded)*ShiftHours*$F174/BedHr_N)),MAX(0,$L174*Acuity_N-(ImgBase+ImgExpOn*ImgExpAdd)),MAX(0,$L174-(LabBase+LabExpOn*LabExpAdd)))</f>
        <v>0</v>
      </c>
      <c r="P174" s="11">
        <f t="shared" ca="1" si="35"/>
        <v>37.21038417649703</v>
      </c>
      <c r="Q174" s="17">
        <f ca="1">((MIN(OTCapPct*Model!$G$24,MAX(0,(($J174*(1+0.5*Acuity_M))/(Cap_Doc*$C174*(1-$G174)))-Model!$G$24)))*OTCost_Doc)+((MIN(OTCapPct*Model!$G$6,MAX(0,(($J174)/(Cap_Nurse*$C174*(1-$H174)))-Model!$G$6)))*OTCost_Nurse)+((MIN(OTCapPct*Model!$G$15,MAX(0,(($J174)/(Cap_Tech*$C174*(1-$I174)))-Model!$G$15)))*OTCost_Tech)+((MIN(OTCapPct*Model!$G$25,MAX(0,(($K174*(1+0.5*Acuity_E))/(Cap_Doc*$C174*(1-$G174)))-Model!$G$25)))*OTCost_Doc)+((MIN(OTCapPct*Model!$G$7,MAX(0,(($K174)/(Cap_Nurse*$C174*(1-$H174)))-Model!$G$7)))*OTCost_Nurse)+((MIN(OTCapPct*Model!$G$16,MAX(0,(($K174)/(Cap_Tech*$C174*(1-$I174)))-Model!$G$16)))*OTCost_Tech)+((MIN(OTCapPct*Model!$G$26,MAX(0,(($L174*(1+0.5*Acuity_N))/(Cap_Doc*$C174*(1-$G174)))-Model!$G$26)))*OTCost_Doc)+((MIN(OTCapPct*Model!$G$8,MAX(0,(($L174)/(Cap_Nurse*$C174*(1-$H174)))-Model!$G$8)))*OTCost_Nurse)+((MIN(OTCapPct*Model!$G$17,MAX(0,(($L174)/(Cap_Tech*$C174*(1-$I174)))-Model!$G$17)))*OTCost_Tech)</f>
        <v>35842.125664702231</v>
      </c>
    </row>
    <row r="175" spans="1:17" x14ac:dyDescent="0.25">
      <c r="A175" s="11">
        <v>171</v>
      </c>
      <c r="B175" s="11" t="str">
        <f t="shared" ca="1" si="24"/>
        <v>Normal</v>
      </c>
      <c r="C175" s="11">
        <f t="shared" ca="1" si="25"/>
        <v>1</v>
      </c>
      <c r="D175" s="11">
        <f t="shared" ca="1" si="26"/>
        <v>0</v>
      </c>
      <c r="E175" s="11">
        <f t="shared" ca="1" si="27"/>
        <v>3</v>
      </c>
      <c r="F175" s="36">
        <f t="shared" ca="1" si="28"/>
        <v>0.96500778545975141</v>
      </c>
      <c r="G175" s="11">
        <f t="shared" ca="1" si="29"/>
        <v>6.7792138258071344E-2</v>
      </c>
      <c r="H175" s="11">
        <f t="shared" ca="1" si="30"/>
        <v>6.8030321394143264E-2</v>
      </c>
      <c r="I175" s="11">
        <f t="shared" ca="1" si="31"/>
        <v>9.5206413511732493E-2</v>
      </c>
      <c r="J175" s="11">
        <f t="shared" ca="1" si="32"/>
        <v>82</v>
      </c>
      <c r="K175" s="11">
        <f t="shared" ca="1" si="33"/>
        <v>87</v>
      </c>
      <c r="L175" s="11">
        <f t="shared" ca="1" si="34"/>
        <v>69</v>
      </c>
      <c r="M175" s="11">
        <f ca="1">MAX(MAX(0,($J175*(1+0.5*Acuity_M))-(Model!$G$24*(1+OTCapPct)*(Cap_Doc*$C175*(1-$G175)))),MAX(0,($J175)-(Model!$G$6*(1+OTCapPct)*(Cap_Nurse*$C175*(1-$H175)))),MAX(0,($J175)-(Model!$G$15*(1+OTCapPct)*(Cap_Tech*$C175*(1-$I175)))),MAX(0,$J175-((BedsCurrent+BedsAdded)*ShiftHours*$F175/BedHr_M)),MAX(0,$J175*Acuity_M-(ImgBase+ImgExpOn*ImgExpAdd)),MAX(0,$J175-(LabBase+LabExpOn*LabExpAdd)))</f>
        <v>0</v>
      </c>
      <c r="N175" s="11">
        <f ca="1">MAX(MAX(0,($K175*(1+0.5*Acuity_E))-(Model!$G$25*(1+OTCapPct)*(Cap_Doc*$C175*(1-$G175)))),MAX(0,($K175)-(Model!$G$7*(1+OTCapPct)*(Cap_Nurse*$C175*(1-$H175)))),MAX(0,($K175)-(Model!$G$16*(1+OTCapPct)*(Cap_Tech*$C175*(1-$I175)))),MAX(0,$K175-((BedsCurrent+BedsAdded)*ShiftHours*$F175/BedHr_E)),MAX(0,$K175*Acuity_E-(ImgBase+ImgExpOn*ImgExpAdd)),MAX(0,$K175-(LabBase+LabExpOn*LabExpAdd)))</f>
        <v>0</v>
      </c>
      <c r="O175" s="11">
        <f ca="1">MAX(MAX(0,($L175*(1+0.5*Acuity_N))-(Model!$G$26*(1+OTCapPct)*(Cap_Doc*$C175*(1-$G175)))),MAX(0,($L175)-(Model!$G$8*(1+OTCapPct)*(Cap_Nurse*$C175*(1-$H175)))),MAX(0,($L175)-(Model!$G$17*(1+OTCapPct)*(Cap_Tech*$C175*(1-$I175)))),MAX(0,$L175-((BedsCurrent+BedsAdded)*ShiftHours*$F175/BedHr_N)),MAX(0,$L175*Acuity_N-(ImgBase+ImgExpOn*ImgExpAdd)),MAX(0,$L175-(LabBase+LabExpOn*LabExpAdd)))</f>
        <v>0</v>
      </c>
      <c r="P175" s="11">
        <f t="shared" ca="1" si="35"/>
        <v>0</v>
      </c>
      <c r="Q175" s="17">
        <f ca="1">((MIN(OTCapPct*Model!$G$24,MAX(0,(($J175*(1+0.5*Acuity_M))/(Cap_Doc*$C175*(1-$G175)))-Model!$G$24)))*OTCost_Doc)+((MIN(OTCapPct*Model!$G$6,MAX(0,(($J175)/(Cap_Nurse*$C175*(1-$H175)))-Model!$G$6)))*OTCost_Nurse)+((MIN(OTCapPct*Model!$G$15,MAX(0,(($J175)/(Cap_Tech*$C175*(1-$I175)))-Model!$G$15)))*OTCost_Tech)+((MIN(OTCapPct*Model!$G$25,MAX(0,(($K175*(1+0.5*Acuity_E))/(Cap_Doc*$C175*(1-$G175)))-Model!$G$25)))*OTCost_Doc)+((MIN(OTCapPct*Model!$G$7,MAX(0,(($K175)/(Cap_Nurse*$C175*(1-$H175)))-Model!$G$7)))*OTCost_Nurse)+((MIN(OTCapPct*Model!$G$16,MAX(0,(($K175)/(Cap_Tech*$C175*(1-$I175)))-Model!$G$16)))*OTCost_Tech)+((MIN(OTCapPct*Model!$G$26,MAX(0,(($L175*(1+0.5*Acuity_N))/(Cap_Doc*$C175*(1-$G175)))-Model!$G$26)))*OTCost_Doc)+((MIN(OTCapPct*Model!$G$8,MAX(0,(($L175)/(Cap_Nurse*$C175*(1-$H175)))-Model!$G$8)))*OTCost_Nurse)+((MIN(OTCapPct*Model!$G$17,MAX(0,(($L175)/(Cap_Tech*$C175*(1-$I175)))-Model!$G$17)))*OTCost_Tech)</f>
        <v>18936.640013540138</v>
      </c>
    </row>
    <row r="176" spans="1:17" x14ac:dyDescent="0.25">
      <c r="A176" s="11">
        <v>172</v>
      </c>
      <c r="B176" s="11" t="str">
        <f t="shared" ca="1" si="24"/>
        <v>Normal</v>
      </c>
      <c r="C176" s="11">
        <f t="shared" ca="1" si="25"/>
        <v>1</v>
      </c>
      <c r="D176" s="11">
        <f t="shared" ca="1" si="26"/>
        <v>0</v>
      </c>
      <c r="E176" s="11">
        <f t="shared" ca="1" si="27"/>
        <v>3</v>
      </c>
      <c r="F176" s="36">
        <f t="shared" ca="1" si="28"/>
        <v>0.95473145103598023</v>
      </c>
      <c r="G176" s="11">
        <f t="shared" ca="1" si="29"/>
        <v>0.10307310830738489</v>
      </c>
      <c r="H176" s="11">
        <f t="shared" ca="1" si="30"/>
        <v>4.8337605117351162E-2</v>
      </c>
      <c r="I176" s="11">
        <f t="shared" ca="1" si="31"/>
        <v>4.0604119150818033E-2</v>
      </c>
      <c r="J176" s="11">
        <f t="shared" ca="1" si="32"/>
        <v>81</v>
      </c>
      <c r="K176" s="11">
        <f t="shared" ca="1" si="33"/>
        <v>124</v>
      </c>
      <c r="L176" s="11">
        <f t="shared" ca="1" si="34"/>
        <v>64</v>
      </c>
      <c r="M176" s="11">
        <f ca="1">MAX(MAX(0,($J176*(1+0.5*Acuity_M))-(Model!$G$24*(1+OTCapPct)*(Cap_Doc*$C176*(1-$G176)))),MAX(0,($J176)-(Model!$G$6*(1+OTCapPct)*(Cap_Nurse*$C176*(1-$H176)))),MAX(0,($J176)-(Model!$G$15*(1+OTCapPct)*(Cap_Tech*$C176*(1-$I176)))),MAX(0,$J176-((BedsCurrent+BedsAdded)*ShiftHours*$F176/BedHr_M)),MAX(0,$J176*Acuity_M-(ImgBase+ImgExpOn*ImgExpAdd)),MAX(0,$J176-(LabBase+LabExpOn*LabExpAdd)))</f>
        <v>0</v>
      </c>
      <c r="N176" s="11">
        <f ca="1">MAX(MAX(0,($K176*(1+0.5*Acuity_E))-(Model!$G$25*(1+OTCapPct)*(Cap_Doc*$C176*(1-$G176)))),MAX(0,($K176)-(Model!$G$7*(1+OTCapPct)*(Cap_Nurse*$C176*(1-$H176)))),MAX(0,($K176)-(Model!$G$16*(1+OTCapPct)*(Cap_Tech*$C176*(1-$I176)))),MAX(0,$K176-((BedsCurrent+BedsAdded)*ShiftHours*$F176/BedHr_E)),MAX(0,$K176*Acuity_E-(ImgBase+ImgExpOn*ImgExpAdd)),MAX(0,$K176-(LabBase+LabExpOn*LabExpAdd)))</f>
        <v>29</v>
      </c>
      <c r="O176" s="11">
        <f ca="1">MAX(MAX(0,($L176*(1+0.5*Acuity_N))-(Model!$G$26*(1+OTCapPct)*(Cap_Doc*$C176*(1-$G176)))),MAX(0,($L176)-(Model!$G$8*(1+OTCapPct)*(Cap_Nurse*$C176*(1-$H176)))),MAX(0,($L176)-(Model!$G$17*(1+OTCapPct)*(Cap_Tech*$C176*(1-$I176)))),MAX(0,$L176-((BedsCurrent+BedsAdded)*ShiftHours*$F176/BedHr_N)),MAX(0,$L176*Acuity_N-(ImgBase+ImgExpOn*ImgExpAdd)),MAX(0,$L176-(LabBase+LabExpOn*LabExpAdd)))</f>
        <v>0</v>
      </c>
      <c r="P176" s="11">
        <f t="shared" ca="1" si="35"/>
        <v>29</v>
      </c>
      <c r="Q176" s="17">
        <f ca="1">((MIN(OTCapPct*Model!$G$24,MAX(0,(($J176*(1+0.5*Acuity_M))/(Cap_Doc*$C176*(1-$G176)))-Model!$G$24)))*OTCost_Doc)+((MIN(OTCapPct*Model!$G$6,MAX(0,(($J176)/(Cap_Nurse*$C176*(1-$H176)))-Model!$G$6)))*OTCost_Nurse)+((MIN(OTCapPct*Model!$G$15,MAX(0,(($J176)/(Cap_Tech*$C176*(1-$I176)))-Model!$G$15)))*OTCost_Tech)+((MIN(OTCapPct*Model!$G$25,MAX(0,(($K176*(1+0.5*Acuity_E))/(Cap_Doc*$C176*(1-$G176)))-Model!$G$25)))*OTCost_Doc)+((MIN(OTCapPct*Model!$G$7,MAX(0,(($K176)/(Cap_Nurse*$C176*(1-$H176)))-Model!$G$7)))*OTCost_Nurse)+((MIN(OTCapPct*Model!$G$16,MAX(0,(($K176)/(Cap_Tech*$C176*(1-$I176)))-Model!$G$16)))*OTCost_Tech)+((MIN(OTCapPct*Model!$G$26,MAX(0,(($L176*(1+0.5*Acuity_N))/(Cap_Doc*$C176*(1-$G176)))-Model!$G$26)))*OTCost_Doc)+((MIN(OTCapPct*Model!$G$8,MAX(0,(($L176)/(Cap_Nurse*$C176*(1-$H176)))-Model!$G$8)))*OTCost_Nurse)+((MIN(OTCapPct*Model!$G$17,MAX(0,(($L176)/(Cap_Tech*$C176*(1-$I176)))-Model!$G$17)))*OTCost_Tech)</f>
        <v>46573.308593957918</v>
      </c>
    </row>
    <row r="177" spans="1:17" x14ac:dyDescent="0.25">
      <c r="A177" s="11">
        <v>173</v>
      </c>
      <c r="B177" s="11" t="str">
        <f t="shared" ca="1" si="24"/>
        <v>Normal</v>
      </c>
      <c r="C177" s="11">
        <f t="shared" ca="1" si="25"/>
        <v>1</v>
      </c>
      <c r="D177" s="11">
        <f t="shared" ca="1" si="26"/>
        <v>0</v>
      </c>
      <c r="E177" s="11">
        <f t="shared" ca="1" si="27"/>
        <v>2</v>
      </c>
      <c r="F177" s="36">
        <f t="shared" ca="1" si="28"/>
        <v>1.0264204600381812</v>
      </c>
      <c r="G177" s="11">
        <f t="shared" ca="1" si="29"/>
        <v>3.8487678157229352E-2</v>
      </c>
      <c r="H177" s="11">
        <f t="shared" ca="1" si="30"/>
        <v>2.564938839611542E-2</v>
      </c>
      <c r="I177" s="11">
        <f t="shared" ca="1" si="31"/>
        <v>0.15356913854362209</v>
      </c>
      <c r="J177" s="11">
        <f t="shared" ca="1" si="32"/>
        <v>96</v>
      </c>
      <c r="K177" s="11">
        <f t="shared" ca="1" si="33"/>
        <v>104</v>
      </c>
      <c r="L177" s="11">
        <f t="shared" ca="1" si="34"/>
        <v>72</v>
      </c>
      <c r="M177" s="11">
        <f ca="1">MAX(MAX(0,($J177*(1+0.5*Acuity_M))-(Model!$G$24*(1+OTCapPct)*(Cap_Doc*$C177*(1-$G177)))),MAX(0,($J177)-(Model!$G$6*(1+OTCapPct)*(Cap_Nurse*$C177*(1-$H177)))),MAX(0,($J177)-(Model!$G$15*(1+OTCapPct)*(Cap_Tech*$C177*(1-$I177)))),MAX(0,$J177-((BedsCurrent+BedsAdded)*ShiftHours*$F177/BedHr_M)),MAX(0,$J177*Acuity_M-(ImgBase+ImgExpOn*ImgExpAdd)),MAX(0,$J177-(LabBase+LabExpOn*LabExpAdd)))</f>
        <v>1</v>
      </c>
      <c r="N177" s="11">
        <f ca="1">MAX(MAX(0,($K177*(1+0.5*Acuity_E))-(Model!$G$25*(1+OTCapPct)*(Cap_Doc*$C177*(1-$G177)))),MAX(0,($K177)-(Model!$G$7*(1+OTCapPct)*(Cap_Nurse*$C177*(1-$H177)))),MAX(0,($K177)-(Model!$G$16*(1+OTCapPct)*(Cap_Tech*$C177*(1-$I177)))),MAX(0,$K177-((BedsCurrent+BedsAdded)*ShiftHours*$F177/BedHr_E)),MAX(0,$K177*Acuity_E-(ImgBase+ImgExpOn*ImgExpAdd)),MAX(0,$K177-(LabBase+LabExpOn*LabExpAdd)))</f>
        <v>9</v>
      </c>
      <c r="O177" s="11">
        <f ca="1">MAX(MAX(0,($L177*(1+0.5*Acuity_N))-(Model!$G$26*(1+OTCapPct)*(Cap_Doc*$C177*(1-$G177)))),MAX(0,($L177)-(Model!$G$8*(1+OTCapPct)*(Cap_Nurse*$C177*(1-$H177)))),MAX(0,($L177)-(Model!$G$17*(1+OTCapPct)*(Cap_Tech*$C177*(1-$I177)))),MAX(0,$L177-((BedsCurrent+BedsAdded)*ShiftHours*$F177/BedHr_N)),MAX(0,$L177*Acuity_N-(ImgBase+ImgExpOn*ImgExpAdd)),MAX(0,$L177-(LabBase+LabExpOn*LabExpAdd)))</f>
        <v>0</v>
      </c>
      <c r="P177" s="11">
        <f t="shared" ca="1" si="35"/>
        <v>10</v>
      </c>
      <c r="Q177" s="17">
        <f ca="1">((MIN(OTCapPct*Model!$G$24,MAX(0,(($J177*(1+0.5*Acuity_M))/(Cap_Doc*$C177*(1-$G177)))-Model!$G$24)))*OTCost_Doc)+((MIN(OTCapPct*Model!$G$6,MAX(0,(($J177)/(Cap_Nurse*$C177*(1-$H177)))-Model!$G$6)))*OTCost_Nurse)+((MIN(OTCapPct*Model!$G$15,MAX(0,(($J177)/(Cap_Tech*$C177*(1-$I177)))-Model!$G$15)))*OTCost_Tech)+((MIN(OTCapPct*Model!$G$25,MAX(0,(($K177*(1+0.5*Acuity_E))/(Cap_Doc*$C177*(1-$G177)))-Model!$G$25)))*OTCost_Doc)+((MIN(OTCapPct*Model!$G$7,MAX(0,(($K177)/(Cap_Nurse*$C177*(1-$H177)))-Model!$G$7)))*OTCost_Nurse)+((MIN(OTCapPct*Model!$G$16,MAX(0,(($K177)/(Cap_Tech*$C177*(1-$I177)))-Model!$G$16)))*OTCost_Tech)+((MIN(OTCapPct*Model!$G$26,MAX(0,(($L177*(1+0.5*Acuity_N))/(Cap_Doc*$C177*(1-$G177)))-Model!$G$26)))*OTCost_Doc)+((MIN(OTCapPct*Model!$G$8,MAX(0,(($L177)/(Cap_Nurse*$C177*(1-$H177)))-Model!$G$8)))*OTCost_Nurse)+((MIN(OTCapPct*Model!$G$17,MAX(0,(($L177)/(Cap_Tech*$C177*(1-$I177)))-Model!$G$17)))*OTCost_Tech)</f>
        <v>39328.498151909473</v>
      </c>
    </row>
    <row r="178" spans="1:17" x14ac:dyDescent="0.25">
      <c r="A178" s="11">
        <v>174</v>
      </c>
      <c r="B178" s="11" t="str">
        <f t="shared" ca="1" si="24"/>
        <v>Normal</v>
      </c>
      <c r="C178" s="11">
        <f t="shared" ca="1" si="25"/>
        <v>1</v>
      </c>
      <c r="D178" s="11">
        <f t="shared" ca="1" si="26"/>
        <v>0</v>
      </c>
      <c r="E178" s="11">
        <f t="shared" ca="1" si="27"/>
        <v>1</v>
      </c>
      <c r="F178" s="36">
        <f t="shared" ca="1" si="28"/>
        <v>1.0125778949704094</v>
      </c>
      <c r="G178" s="11">
        <f t="shared" ca="1" si="29"/>
        <v>7.9343796775005887E-2</v>
      </c>
      <c r="H178" s="11">
        <f t="shared" ca="1" si="30"/>
        <v>5.8834128930557159E-2</v>
      </c>
      <c r="I178" s="11">
        <f t="shared" ca="1" si="31"/>
        <v>0.15970179073540969</v>
      </c>
      <c r="J178" s="11">
        <f t="shared" ca="1" si="32"/>
        <v>72</v>
      </c>
      <c r="K178" s="11">
        <f t="shared" ca="1" si="33"/>
        <v>103</v>
      </c>
      <c r="L178" s="11">
        <f t="shared" ca="1" si="34"/>
        <v>60</v>
      </c>
      <c r="M178" s="11">
        <f ca="1">MAX(MAX(0,($J178*(1+0.5*Acuity_M))-(Model!$G$24*(1+OTCapPct)*(Cap_Doc*$C178*(1-$G178)))),MAX(0,($J178)-(Model!$G$6*(1+OTCapPct)*(Cap_Nurse*$C178*(1-$H178)))),MAX(0,($J178)-(Model!$G$15*(1+OTCapPct)*(Cap_Tech*$C178*(1-$I178)))),MAX(0,$J178-((BedsCurrent+BedsAdded)*ShiftHours*$F178/BedHr_M)),MAX(0,$J178*Acuity_M-(ImgBase+ImgExpOn*ImgExpAdd)),MAX(0,$J178-(LabBase+LabExpOn*LabExpAdd)))</f>
        <v>0</v>
      </c>
      <c r="N178" s="11">
        <f ca="1">MAX(MAX(0,($K178*(1+0.5*Acuity_E))-(Model!$G$25*(1+OTCapPct)*(Cap_Doc*$C178*(1-$G178)))),MAX(0,($K178)-(Model!$G$7*(1+OTCapPct)*(Cap_Nurse*$C178*(1-$H178)))),MAX(0,($K178)-(Model!$G$16*(1+OTCapPct)*(Cap_Tech*$C178*(1-$I178)))),MAX(0,$K178-((BedsCurrent+BedsAdded)*ShiftHours*$F178/BedHr_E)),MAX(0,$K178*Acuity_E-(ImgBase+ImgExpOn*ImgExpAdd)),MAX(0,$K178-(LabBase+LabExpOn*LabExpAdd)))</f>
        <v>8</v>
      </c>
      <c r="O178" s="11">
        <f ca="1">MAX(MAX(0,($L178*(1+0.5*Acuity_N))-(Model!$G$26*(1+OTCapPct)*(Cap_Doc*$C178*(1-$G178)))),MAX(0,($L178)-(Model!$G$8*(1+OTCapPct)*(Cap_Nurse*$C178*(1-$H178)))),MAX(0,($L178)-(Model!$G$17*(1+OTCapPct)*(Cap_Tech*$C178*(1-$I178)))),MAX(0,$L178-((BedsCurrent+BedsAdded)*ShiftHours*$F178/BedHr_N)),MAX(0,$L178*Acuity_N-(ImgBase+ImgExpOn*ImgExpAdd)),MAX(0,$L178-(LabBase+LabExpOn*LabExpAdd)))</f>
        <v>0</v>
      </c>
      <c r="P178" s="11">
        <f t="shared" ca="1" si="35"/>
        <v>8</v>
      </c>
      <c r="Q178" s="17">
        <f ca="1">((MIN(OTCapPct*Model!$G$24,MAX(0,(($J178*(1+0.5*Acuity_M))/(Cap_Doc*$C178*(1-$G178)))-Model!$G$24)))*OTCost_Doc)+((MIN(OTCapPct*Model!$G$6,MAX(0,(($J178)/(Cap_Nurse*$C178*(1-$H178)))-Model!$G$6)))*OTCost_Nurse)+((MIN(OTCapPct*Model!$G$15,MAX(0,(($J178)/(Cap_Tech*$C178*(1-$I178)))-Model!$G$15)))*OTCost_Tech)+((MIN(OTCapPct*Model!$G$25,MAX(0,(($K178*(1+0.5*Acuity_E))/(Cap_Doc*$C178*(1-$G178)))-Model!$G$25)))*OTCost_Doc)+((MIN(OTCapPct*Model!$G$7,MAX(0,(($K178)/(Cap_Nurse*$C178*(1-$H178)))-Model!$G$7)))*OTCost_Nurse)+((MIN(OTCapPct*Model!$G$16,MAX(0,(($K178)/(Cap_Tech*$C178*(1-$I178)))-Model!$G$16)))*OTCost_Tech)+((MIN(OTCapPct*Model!$G$26,MAX(0,(($L178*(1+0.5*Acuity_N))/(Cap_Doc*$C178*(1-$G178)))-Model!$G$26)))*OTCost_Doc)+((MIN(OTCapPct*Model!$G$8,MAX(0,(($L178)/(Cap_Nurse*$C178*(1-$H178)))-Model!$G$8)))*OTCost_Nurse)+((MIN(OTCapPct*Model!$G$17,MAX(0,(($L178)/(Cap_Tech*$C178*(1-$I178)))-Model!$G$17)))*OTCost_Tech)</f>
        <v>3793.7618701598158</v>
      </c>
    </row>
    <row r="179" spans="1:17" x14ac:dyDescent="0.25">
      <c r="A179" s="11">
        <v>175</v>
      </c>
      <c r="B179" s="11" t="str">
        <f t="shared" ca="1" si="24"/>
        <v>Normal</v>
      </c>
      <c r="C179" s="11">
        <f t="shared" ca="1" si="25"/>
        <v>1</v>
      </c>
      <c r="D179" s="11">
        <f t="shared" ca="1" si="26"/>
        <v>0</v>
      </c>
      <c r="E179" s="11">
        <f t="shared" ca="1" si="27"/>
        <v>1</v>
      </c>
      <c r="F179" s="36">
        <f t="shared" ca="1" si="28"/>
        <v>0.82924083583521346</v>
      </c>
      <c r="G179" s="11">
        <f t="shared" ca="1" si="29"/>
        <v>3.7695103800982947E-2</v>
      </c>
      <c r="H179" s="11">
        <f t="shared" ca="1" si="30"/>
        <v>0.11147918063295542</v>
      </c>
      <c r="I179" s="11">
        <f t="shared" ca="1" si="31"/>
        <v>4.630510648458476E-2</v>
      </c>
      <c r="J179" s="11">
        <f t="shared" ca="1" si="32"/>
        <v>86</v>
      </c>
      <c r="K179" s="11">
        <f t="shared" ca="1" si="33"/>
        <v>135</v>
      </c>
      <c r="L179" s="11">
        <f t="shared" ca="1" si="34"/>
        <v>67</v>
      </c>
      <c r="M179" s="11">
        <f ca="1">MAX(MAX(0,($J179*(1+0.5*Acuity_M))-(Model!$G$24*(1+OTCapPct)*(Cap_Doc*$C179*(1-$G179)))),MAX(0,($J179)-(Model!$G$6*(1+OTCapPct)*(Cap_Nurse*$C179*(1-$H179)))),MAX(0,($J179)-(Model!$G$15*(1+OTCapPct)*(Cap_Tech*$C179*(1-$I179)))),MAX(0,$J179-((BedsCurrent+BedsAdded)*ShiftHours*$F179/BedHr_M)),MAX(0,$J179*Acuity_M-(ImgBase+ImgExpOn*ImgExpAdd)),MAX(0,$J179-(LabBase+LabExpOn*LabExpAdd)))</f>
        <v>0</v>
      </c>
      <c r="N179" s="11">
        <f ca="1">MAX(MAX(0,($K179*(1+0.5*Acuity_E))-(Model!$G$25*(1+OTCapPct)*(Cap_Doc*$C179*(1-$G179)))),MAX(0,($K179)-(Model!$G$7*(1+OTCapPct)*(Cap_Nurse*$C179*(1-$H179)))),MAX(0,($K179)-(Model!$G$16*(1+OTCapPct)*(Cap_Tech*$C179*(1-$I179)))),MAX(0,$K179-((BedsCurrent+BedsAdded)*ShiftHours*$F179/BedHr_E)),MAX(0,$K179*Acuity_E-(ImgBase+ImgExpOn*ImgExpAdd)),MAX(0,$K179-(LabBase+LabExpOn*LabExpAdd)))</f>
        <v>44.778597061128778</v>
      </c>
      <c r="O179" s="11">
        <f ca="1">MAX(MAX(0,($L179*(1+0.5*Acuity_N))-(Model!$G$26*(1+OTCapPct)*(Cap_Doc*$C179*(1-$G179)))),MAX(0,($L179)-(Model!$G$8*(1+OTCapPct)*(Cap_Nurse*$C179*(1-$H179)))),MAX(0,($L179)-(Model!$G$17*(1+OTCapPct)*(Cap_Tech*$C179*(1-$I179)))),MAX(0,$L179-((BedsCurrent+BedsAdded)*ShiftHours*$F179/BedHr_N)),MAX(0,$L179*Acuity_N-(ImgBase+ImgExpOn*ImgExpAdd)),MAX(0,$L179-(LabBase+LabExpOn*LabExpAdd)))</f>
        <v>0</v>
      </c>
      <c r="P179" s="11">
        <f t="shared" ca="1" si="35"/>
        <v>44.778597061128778</v>
      </c>
      <c r="Q179" s="17">
        <f ca="1">((MIN(OTCapPct*Model!$G$24,MAX(0,(($J179*(1+0.5*Acuity_M))/(Cap_Doc*$C179*(1-$G179)))-Model!$G$24)))*OTCost_Doc)+((MIN(OTCapPct*Model!$G$6,MAX(0,(($J179)/(Cap_Nurse*$C179*(1-$H179)))-Model!$G$6)))*OTCost_Nurse)+((MIN(OTCapPct*Model!$G$15,MAX(0,(($J179)/(Cap_Tech*$C179*(1-$I179)))-Model!$G$15)))*OTCost_Tech)+((MIN(OTCapPct*Model!$G$25,MAX(0,(($K179*(1+0.5*Acuity_E))/(Cap_Doc*$C179*(1-$G179)))-Model!$G$25)))*OTCost_Doc)+((MIN(OTCapPct*Model!$G$7,MAX(0,(($K179)/(Cap_Nurse*$C179*(1-$H179)))-Model!$G$7)))*OTCost_Nurse)+((MIN(OTCapPct*Model!$G$16,MAX(0,(($K179)/(Cap_Tech*$C179*(1-$I179)))-Model!$G$16)))*OTCost_Tech)+((MIN(OTCapPct*Model!$G$26,MAX(0,(($L179*(1+0.5*Acuity_N))/(Cap_Doc*$C179*(1-$G179)))-Model!$G$26)))*OTCost_Doc)+((MIN(OTCapPct*Model!$G$8,MAX(0,(($L179)/(Cap_Nurse*$C179*(1-$H179)))-Model!$G$8)))*OTCost_Nurse)+((MIN(OTCapPct*Model!$G$17,MAX(0,(($L179)/(Cap_Tech*$C179*(1-$I179)))-Model!$G$17)))*OTCost_Tech)</f>
        <v>65220.34379329285</v>
      </c>
    </row>
    <row r="180" spans="1:17" x14ac:dyDescent="0.25">
      <c r="A180" s="11">
        <v>176</v>
      </c>
      <c r="B180" s="11" t="str">
        <f t="shared" ca="1" si="24"/>
        <v>Normal</v>
      </c>
      <c r="C180" s="11">
        <f t="shared" ca="1" si="25"/>
        <v>1</v>
      </c>
      <c r="D180" s="11">
        <f t="shared" ca="1" si="26"/>
        <v>0</v>
      </c>
      <c r="E180" s="11">
        <f t="shared" ca="1" si="27"/>
        <v>1</v>
      </c>
      <c r="F180" s="36">
        <f t="shared" ca="1" si="28"/>
        <v>0.83495421544970616</v>
      </c>
      <c r="G180" s="11">
        <f t="shared" ca="1" si="29"/>
        <v>0</v>
      </c>
      <c r="H180" s="11">
        <f t="shared" ca="1" si="30"/>
        <v>7.9148696338693592E-2</v>
      </c>
      <c r="I180" s="11">
        <f t="shared" ca="1" si="31"/>
        <v>3.0300765370676479E-2</v>
      </c>
      <c r="J180" s="11">
        <f t="shared" ca="1" si="32"/>
        <v>83</v>
      </c>
      <c r="K180" s="11">
        <f t="shared" ca="1" si="33"/>
        <v>161</v>
      </c>
      <c r="L180" s="11">
        <f t="shared" ca="1" si="34"/>
        <v>48</v>
      </c>
      <c r="M180" s="11">
        <f ca="1">MAX(MAX(0,($J180*(1+0.5*Acuity_M))-(Model!$G$24*(1+OTCapPct)*(Cap_Doc*$C180*(1-$G180)))),MAX(0,($J180)-(Model!$G$6*(1+OTCapPct)*(Cap_Nurse*$C180*(1-$H180)))),MAX(0,($J180)-(Model!$G$15*(1+OTCapPct)*(Cap_Tech*$C180*(1-$I180)))),MAX(0,$J180-((BedsCurrent+BedsAdded)*ShiftHours*$F180/BedHr_M)),MAX(0,$J180*Acuity_M-(ImgBase+ImgExpOn*ImgExpAdd)),MAX(0,$J180-(LabBase+LabExpOn*LabExpAdd)))</f>
        <v>0</v>
      </c>
      <c r="N180" s="11">
        <f ca="1">MAX(MAX(0,($K180*(1+0.5*Acuity_E))-(Model!$G$25*(1+OTCapPct)*(Cap_Doc*$C180*(1-$G180)))),MAX(0,($K180)-(Model!$G$7*(1+OTCapPct)*(Cap_Nurse*$C180*(1-$H180)))),MAX(0,($K180)-(Model!$G$16*(1+OTCapPct)*(Cap_Tech*$C180*(1-$I180)))),MAX(0,$K180-((BedsCurrent+BedsAdded)*ShiftHours*$F180/BedHr_E)),MAX(0,$K180*Acuity_E-(ImgBase+ImgExpOn*ImgExpAdd)),MAX(0,$K180-(LabBase+LabExpOn*LabExpAdd)))</f>
        <v>70.156981359071978</v>
      </c>
      <c r="O180" s="11">
        <f ca="1">MAX(MAX(0,($L180*(1+0.5*Acuity_N))-(Model!$G$26*(1+OTCapPct)*(Cap_Doc*$C180*(1-$G180)))),MAX(0,($L180)-(Model!$G$8*(1+OTCapPct)*(Cap_Nurse*$C180*(1-$H180)))),MAX(0,($L180)-(Model!$G$17*(1+OTCapPct)*(Cap_Tech*$C180*(1-$I180)))),MAX(0,$L180-((BedsCurrent+BedsAdded)*ShiftHours*$F180/BedHr_N)),MAX(0,$L180*Acuity_N-(ImgBase+ImgExpOn*ImgExpAdd)),MAX(0,$L180-(LabBase+LabExpOn*LabExpAdd)))</f>
        <v>0</v>
      </c>
      <c r="P180" s="11">
        <f t="shared" ca="1" si="35"/>
        <v>70.156981359071978</v>
      </c>
      <c r="Q180" s="17">
        <f ca="1">((MIN(OTCapPct*Model!$G$24,MAX(0,(($J180*(1+0.5*Acuity_M))/(Cap_Doc*$C180*(1-$G180)))-Model!$G$24)))*OTCost_Doc)+((MIN(OTCapPct*Model!$G$6,MAX(0,(($J180)/(Cap_Nurse*$C180*(1-$H180)))-Model!$G$6)))*OTCost_Nurse)+((MIN(OTCapPct*Model!$G$15,MAX(0,(($J180)/(Cap_Tech*$C180*(1-$I180)))-Model!$G$15)))*OTCost_Tech)+((MIN(OTCapPct*Model!$G$25,MAX(0,(($K180*(1+0.5*Acuity_E))/(Cap_Doc*$C180*(1-$G180)))-Model!$G$25)))*OTCost_Doc)+((MIN(OTCapPct*Model!$G$7,MAX(0,(($K180)/(Cap_Nurse*$C180*(1-$H180)))-Model!$G$7)))*OTCost_Nurse)+((MIN(OTCapPct*Model!$G$16,MAX(0,(($K180)/(Cap_Tech*$C180*(1-$I180)))-Model!$G$16)))*OTCost_Tech)+((MIN(OTCapPct*Model!$G$26,MAX(0,(($L180*(1+0.5*Acuity_N))/(Cap_Doc*$C180*(1-$G180)))-Model!$G$26)))*OTCost_Doc)+((MIN(OTCapPct*Model!$G$8,MAX(0,(($L180)/(Cap_Nurse*$C180*(1-$H180)))-Model!$G$8)))*OTCost_Nurse)+((MIN(OTCapPct*Model!$G$17,MAX(0,(($L180)/(Cap_Tech*$C180*(1-$I180)))-Model!$G$17)))*OTCost_Tech)</f>
        <v>49795.0766251065</v>
      </c>
    </row>
    <row r="181" spans="1:17" x14ac:dyDescent="0.25">
      <c r="A181" s="11">
        <v>177</v>
      </c>
      <c r="B181" s="11" t="str">
        <f t="shared" ca="1" si="24"/>
        <v>Normal</v>
      </c>
      <c r="C181" s="11">
        <f t="shared" ca="1" si="25"/>
        <v>1</v>
      </c>
      <c r="D181" s="11">
        <f t="shared" ca="1" si="26"/>
        <v>0</v>
      </c>
      <c r="E181" s="11">
        <f t="shared" ca="1" si="27"/>
        <v>3</v>
      </c>
      <c r="F181" s="36">
        <f t="shared" ca="1" si="28"/>
        <v>0.84189095758851895</v>
      </c>
      <c r="G181" s="11">
        <f t="shared" ca="1" si="29"/>
        <v>0</v>
      </c>
      <c r="H181" s="11">
        <f t="shared" ca="1" si="30"/>
        <v>2.4747221670965991E-3</v>
      </c>
      <c r="I181" s="11">
        <f t="shared" ca="1" si="31"/>
        <v>8.5028578119445725E-2</v>
      </c>
      <c r="J181" s="11">
        <f t="shared" ca="1" si="32"/>
        <v>93</v>
      </c>
      <c r="K181" s="11">
        <f t="shared" ca="1" si="33"/>
        <v>147</v>
      </c>
      <c r="L181" s="11">
        <f t="shared" ca="1" si="34"/>
        <v>73</v>
      </c>
      <c r="M181" s="11">
        <f ca="1">MAX(MAX(0,($J181*(1+0.5*Acuity_M))-(Model!$G$24*(1+OTCapPct)*(Cap_Doc*$C181*(1-$G181)))),MAX(0,($J181)-(Model!$G$6*(1+OTCapPct)*(Cap_Nurse*$C181*(1-$H181)))),MAX(0,($J181)-(Model!$G$15*(1+OTCapPct)*(Cap_Tech*$C181*(1-$I181)))),MAX(0,$J181-((BedsCurrent+BedsAdded)*ShiftHours*$F181/BedHr_M)),MAX(0,$J181*Acuity_M-(ImgBase+ImgExpOn*ImgExpAdd)),MAX(0,$J181-(LabBase+LabExpOn*LabExpAdd)))</f>
        <v>0</v>
      </c>
      <c r="N181" s="11">
        <f ca="1">MAX(MAX(0,($K181*(1+0.5*Acuity_E))-(Model!$G$25*(1+OTCapPct)*(Cap_Doc*$C181*(1-$G181)))),MAX(0,($K181)-(Model!$G$7*(1+OTCapPct)*(Cap_Nurse*$C181*(1-$H181)))),MAX(0,($K181)-(Model!$G$16*(1+OTCapPct)*(Cap_Tech*$C181*(1-$I181)))),MAX(0,$K181-((BedsCurrent+BedsAdded)*ShiftHours*$F181/BedHr_E)),MAX(0,$K181*Acuity_E-(ImgBase+ImgExpOn*ImgExpAdd)),MAX(0,$K181-(LabBase+LabExpOn*LabExpAdd)))</f>
        <v>55.402263814369149</v>
      </c>
      <c r="O181" s="11">
        <f ca="1">MAX(MAX(0,($L181*(1+0.5*Acuity_N))-(Model!$G$26*(1+OTCapPct)*(Cap_Doc*$C181*(1-$G181)))),MAX(0,($L181)-(Model!$G$8*(1+OTCapPct)*(Cap_Nurse*$C181*(1-$H181)))),MAX(0,($L181)-(Model!$G$17*(1+OTCapPct)*(Cap_Tech*$C181*(1-$I181)))),MAX(0,$L181-((BedsCurrent+BedsAdded)*ShiftHours*$F181/BedHr_N)),MAX(0,$L181*Acuity_N-(ImgBase+ImgExpOn*ImgExpAdd)),MAX(0,$L181-(LabBase+LabExpOn*LabExpAdd)))</f>
        <v>0</v>
      </c>
      <c r="P181" s="11">
        <f t="shared" ca="1" si="35"/>
        <v>55.402263814369149</v>
      </c>
      <c r="Q181" s="17">
        <f ca="1">((MIN(OTCapPct*Model!$G$24,MAX(0,(($J181*(1+0.5*Acuity_M))/(Cap_Doc*$C181*(1-$G181)))-Model!$G$24)))*OTCost_Doc)+((MIN(OTCapPct*Model!$G$6,MAX(0,(($J181)/(Cap_Nurse*$C181*(1-$H181)))-Model!$G$6)))*OTCost_Nurse)+((MIN(OTCapPct*Model!$G$15,MAX(0,(($J181)/(Cap_Tech*$C181*(1-$I181)))-Model!$G$15)))*OTCost_Tech)+((MIN(OTCapPct*Model!$G$25,MAX(0,(($K181*(1+0.5*Acuity_E))/(Cap_Doc*$C181*(1-$G181)))-Model!$G$25)))*OTCost_Doc)+((MIN(OTCapPct*Model!$G$7,MAX(0,(($K181)/(Cap_Nurse*$C181*(1-$H181)))-Model!$G$7)))*OTCost_Nurse)+((MIN(OTCapPct*Model!$G$16,MAX(0,(($K181)/(Cap_Tech*$C181*(1-$I181)))-Model!$G$16)))*OTCost_Tech)+((MIN(OTCapPct*Model!$G$26,MAX(0,(($L181*(1+0.5*Acuity_N))/(Cap_Doc*$C181*(1-$G181)))-Model!$G$26)))*OTCost_Doc)+((MIN(OTCapPct*Model!$G$8,MAX(0,(($L181)/(Cap_Nurse*$C181*(1-$H181)))-Model!$G$8)))*OTCost_Nurse)+((MIN(OTCapPct*Model!$G$17,MAX(0,(($L181)/(Cap_Tech*$C181*(1-$I181)))-Model!$G$17)))*OTCost_Tech)</f>
        <v>69912.695887964786</v>
      </c>
    </row>
    <row r="182" spans="1:17" x14ac:dyDescent="0.25">
      <c r="A182" s="11">
        <v>178</v>
      </c>
      <c r="B182" s="11" t="str">
        <f t="shared" ca="1" si="24"/>
        <v>Complex</v>
      </c>
      <c r="C182" s="11">
        <f t="shared" ca="1" si="25"/>
        <v>0.9</v>
      </c>
      <c r="D182" s="11">
        <f t="shared" ca="1" si="26"/>
        <v>0</v>
      </c>
      <c r="E182" s="11">
        <f t="shared" ca="1" si="27"/>
        <v>3</v>
      </c>
      <c r="F182" s="36">
        <f t="shared" ca="1" si="28"/>
        <v>1.0334816495510708</v>
      </c>
      <c r="G182" s="11">
        <f t="shared" ca="1" si="29"/>
        <v>0</v>
      </c>
      <c r="H182" s="11">
        <f t="shared" ca="1" si="30"/>
        <v>2.4424713385563859E-2</v>
      </c>
      <c r="I182" s="11">
        <f t="shared" ca="1" si="31"/>
        <v>5.4315457728512505E-2</v>
      </c>
      <c r="J182" s="11">
        <f t="shared" ca="1" si="32"/>
        <v>83</v>
      </c>
      <c r="K182" s="11">
        <f t="shared" ca="1" si="33"/>
        <v>112</v>
      </c>
      <c r="L182" s="11">
        <f t="shared" ca="1" si="34"/>
        <v>87</v>
      </c>
      <c r="M182" s="11">
        <f ca="1">MAX(MAX(0,($J182*(1+0.5*Acuity_M))-(Model!$G$24*(1+OTCapPct)*(Cap_Doc*$C182*(1-$G182)))),MAX(0,($J182)-(Model!$G$6*(1+OTCapPct)*(Cap_Nurse*$C182*(1-$H182)))),MAX(0,($J182)-(Model!$G$15*(1+OTCapPct)*(Cap_Tech*$C182*(1-$I182)))),MAX(0,$J182-((BedsCurrent+BedsAdded)*ShiftHours*$F182/BedHr_M)),MAX(0,$J182*Acuity_M-(ImgBase+ImgExpOn*ImgExpAdd)),MAX(0,$J182-(LabBase+LabExpOn*LabExpAdd)))</f>
        <v>0</v>
      </c>
      <c r="N182" s="11">
        <f ca="1">MAX(MAX(0,($K182*(1+0.5*Acuity_E))-(Model!$G$25*(1+OTCapPct)*(Cap_Doc*$C182*(1-$G182)))),MAX(0,($K182)-(Model!$G$7*(1+OTCapPct)*(Cap_Nurse*$C182*(1-$H182)))),MAX(0,($K182)-(Model!$G$16*(1+OTCapPct)*(Cap_Tech*$C182*(1-$I182)))),MAX(0,$K182-((BedsCurrent+BedsAdded)*ShiftHours*$F182/BedHr_E)),MAX(0,$K182*Acuity_E-(ImgBase+ImgExpOn*ImgExpAdd)),MAX(0,$K182-(LabBase+LabExpOn*LabExpAdd)))</f>
        <v>17</v>
      </c>
      <c r="O182" s="11">
        <f ca="1">MAX(MAX(0,($L182*(1+0.5*Acuity_N))-(Model!$G$26*(1+OTCapPct)*(Cap_Doc*$C182*(1-$G182)))),MAX(0,($L182)-(Model!$G$8*(1+OTCapPct)*(Cap_Nurse*$C182*(1-$H182)))),MAX(0,($L182)-(Model!$G$17*(1+OTCapPct)*(Cap_Tech*$C182*(1-$I182)))),MAX(0,$L182-((BedsCurrent+BedsAdded)*ShiftHours*$F182/BedHr_N)),MAX(0,$L182*Acuity_N-(ImgBase+ImgExpOn*ImgExpAdd)),MAX(0,$L182-(LabBase+LabExpOn*LabExpAdd)))</f>
        <v>19.049999999999997</v>
      </c>
      <c r="P182" s="11">
        <f t="shared" ca="1" si="35"/>
        <v>36.049999999999997</v>
      </c>
      <c r="Q182" s="17">
        <f ca="1">((MIN(OTCapPct*Model!$G$24,MAX(0,(($J182*(1+0.5*Acuity_M))/(Cap_Doc*$C182*(1-$G182)))-Model!$G$24)))*OTCost_Doc)+((MIN(OTCapPct*Model!$G$6,MAX(0,(($J182)/(Cap_Nurse*$C182*(1-$H182)))-Model!$G$6)))*OTCost_Nurse)+((MIN(OTCapPct*Model!$G$15,MAX(0,(($J182)/(Cap_Tech*$C182*(1-$I182)))-Model!$G$15)))*OTCost_Tech)+((MIN(OTCapPct*Model!$G$25,MAX(0,(($K182*(1+0.5*Acuity_E))/(Cap_Doc*$C182*(1-$G182)))-Model!$G$25)))*OTCost_Doc)+((MIN(OTCapPct*Model!$G$7,MAX(0,(($K182)/(Cap_Nurse*$C182*(1-$H182)))-Model!$G$7)))*OTCost_Nurse)+((MIN(OTCapPct*Model!$G$16,MAX(0,(($K182)/(Cap_Tech*$C182*(1-$I182)))-Model!$G$16)))*OTCost_Tech)+((MIN(OTCapPct*Model!$G$26,MAX(0,(($L182*(1+0.5*Acuity_N))/(Cap_Doc*$C182*(1-$G182)))-Model!$G$26)))*OTCost_Doc)+((MIN(OTCapPct*Model!$G$8,MAX(0,(($L182)/(Cap_Nurse*$C182*(1-$H182)))-Model!$G$8)))*OTCost_Nurse)+((MIN(OTCapPct*Model!$G$17,MAX(0,(($L182)/(Cap_Tech*$C182*(1-$I182)))-Model!$G$17)))*OTCost_Tech)</f>
        <v>59445.998415664028</v>
      </c>
    </row>
    <row r="183" spans="1:17" x14ac:dyDescent="0.25">
      <c r="A183" s="11">
        <v>179</v>
      </c>
      <c r="B183" s="11" t="str">
        <f t="shared" ca="1" si="24"/>
        <v>Normal</v>
      </c>
      <c r="C183" s="11">
        <f t="shared" ca="1" si="25"/>
        <v>1</v>
      </c>
      <c r="D183" s="11">
        <f t="shared" ca="1" si="26"/>
        <v>0</v>
      </c>
      <c r="E183" s="11">
        <f t="shared" ca="1" si="27"/>
        <v>1</v>
      </c>
      <c r="F183" s="36">
        <f t="shared" ca="1" si="28"/>
        <v>0.91354232545314362</v>
      </c>
      <c r="G183" s="11">
        <f t="shared" ca="1" si="29"/>
        <v>0</v>
      </c>
      <c r="H183" s="11">
        <f t="shared" ca="1" si="30"/>
        <v>4.0435077074531395E-2</v>
      </c>
      <c r="I183" s="11">
        <f t="shared" ca="1" si="31"/>
        <v>5.8238665679204021E-3</v>
      </c>
      <c r="J183" s="11">
        <f t="shared" ca="1" si="32"/>
        <v>119</v>
      </c>
      <c r="K183" s="11">
        <f t="shared" ca="1" si="33"/>
        <v>152</v>
      </c>
      <c r="L183" s="11">
        <f t="shared" ca="1" si="34"/>
        <v>68</v>
      </c>
      <c r="M183" s="11">
        <f ca="1">MAX(MAX(0,($J183*(1+0.5*Acuity_M))-(Model!$G$24*(1+OTCapPct)*(Cap_Doc*$C183*(1-$G183)))),MAX(0,($J183)-(Model!$G$6*(1+OTCapPct)*(Cap_Nurse*$C183*(1-$H183)))),MAX(0,($J183)-(Model!$G$15*(1+OTCapPct)*(Cap_Tech*$C183*(1-$I183)))),MAX(0,$J183-((BedsCurrent+BedsAdded)*ShiftHours*$F183/BedHr_M)),MAX(0,$J183*Acuity_M-(ImgBase+ImgExpOn*ImgExpAdd)),MAX(0,$J183-(LabBase+LabExpOn*LabExpAdd)))</f>
        <v>24</v>
      </c>
      <c r="N183" s="11">
        <f ca="1">MAX(MAX(0,($K183*(1+0.5*Acuity_E))-(Model!$G$25*(1+OTCapPct)*(Cap_Doc*$C183*(1-$G183)))),MAX(0,($K183)-(Model!$G$7*(1+OTCapPct)*(Cap_Nurse*$C183*(1-$H183)))),MAX(0,($K183)-(Model!$G$16*(1+OTCapPct)*(Cap_Tech*$C183*(1-$I183)))),MAX(0,$K183-((BedsCurrent+BedsAdded)*ShiftHours*$F183/BedHr_E)),MAX(0,$K183*Acuity_E-(ImgBase+ImgExpOn*ImgExpAdd)),MAX(0,$K183-(LabBase+LabExpOn*LabExpAdd)))</f>
        <v>57</v>
      </c>
      <c r="O183" s="11">
        <f ca="1">MAX(MAX(0,($L183*(1+0.5*Acuity_N))-(Model!$G$26*(1+OTCapPct)*(Cap_Doc*$C183*(1-$G183)))),MAX(0,($L183)-(Model!$G$8*(1+OTCapPct)*(Cap_Nurse*$C183*(1-$H183)))),MAX(0,($L183)-(Model!$G$17*(1+OTCapPct)*(Cap_Tech*$C183*(1-$I183)))),MAX(0,$L183-((BedsCurrent+BedsAdded)*ShiftHours*$F183/BedHr_N)),MAX(0,$L183*Acuity_N-(ImgBase+ImgExpOn*ImgExpAdd)),MAX(0,$L183-(LabBase+LabExpOn*LabExpAdd)))</f>
        <v>0</v>
      </c>
      <c r="P183" s="11">
        <f t="shared" ca="1" si="35"/>
        <v>81</v>
      </c>
      <c r="Q183" s="17">
        <f ca="1">((MIN(OTCapPct*Model!$G$24,MAX(0,(($J183*(1+0.5*Acuity_M))/(Cap_Doc*$C183*(1-$G183)))-Model!$G$24)))*OTCost_Doc)+((MIN(OTCapPct*Model!$G$6,MAX(0,(($J183)/(Cap_Nurse*$C183*(1-$H183)))-Model!$G$6)))*OTCost_Nurse)+((MIN(OTCapPct*Model!$G$15,MAX(0,(($J183)/(Cap_Tech*$C183*(1-$I183)))-Model!$G$15)))*OTCost_Tech)+((MIN(OTCapPct*Model!$G$25,MAX(0,(($K183*(1+0.5*Acuity_E))/(Cap_Doc*$C183*(1-$G183)))-Model!$G$25)))*OTCost_Doc)+((MIN(OTCapPct*Model!$G$7,MAX(0,(($K183)/(Cap_Nurse*$C183*(1-$H183)))-Model!$G$7)))*OTCost_Nurse)+((MIN(OTCapPct*Model!$G$16,MAX(0,(($K183)/(Cap_Tech*$C183*(1-$I183)))-Model!$G$16)))*OTCost_Tech)+((MIN(OTCapPct*Model!$G$26,MAX(0,(($L183*(1+0.5*Acuity_N))/(Cap_Doc*$C183*(1-$G183)))-Model!$G$26)))*OTCost_Doc)+((MIN(OTCapPct*Model!$G$8,MAX(0,(($L183)/(Cap_Nurse*$C183*(1-$H183)))-Model!$G$8)))*OTCost_Nurse)+((MIN(OTCapPct*Model!$G$17,MAX(0,(($L183)/(Cap_Tech*$C183*(1-$I183)))-Model!$G$17)))*OTCost_Tech)</f>
        <v>81525</v>
      </c>
    </row>
    <row r="184" spans="1:17" x14ac:dyDescent="0.25">
      <c r="A184" s="11">
        <v>180</v>
      </c>
      <c r="B184" s="11" t="str">
        <f t="shared" ca="1" si="24"/>
        <v>Normal</v>
      </c>
      <c r="C184" s="11">
        <f t="shared" ca="1" si="25"/>
        <v>1</v>
      </c>
      <c r="D184" s="11">
        <f t="shared" ca="1" si="26"/>
        <v>0</v>
      </c>
      <c r="E184" s="11">
        <f t="shared" ca="1" si="27"/>
        <v>1</v>
      </c>
      <c r="F184" s="36">
        <f t="shared" ca="1" si="28"/>
        <v>0.85026499851412329</v>
      </c>
      <c r="G184" s="11">
        <f t="shared" ca="1" si="29"/>
        <v>0.13536195617510047</v>
      </c>
      <c r="H184" s="11">
        <f t="shared" ca="1" si="30"/>
        <v>4.6533113200178319E-3</v>
      </c>
      <c r="I184" s="11">
        <f t="shared" ca="1" si="31"/>
        <v>0.1548737299742316</v>
      </c>
      <c r="J184" s="11">
        <f t="shared" ca="1" si="32"/>
        <v>58</v>
      </c>
      <c r="K184" s="11">
        <f t="shared" ca="1" si="33"/>
        <v>127</v>
      </c>
      <c r="L184" s="11">
        <f t="shared" ca="1" si="34"/>
        <v>66</v>
      </c>
      <c r="M184" s="11">
        <f ca="1">MAX(MAX(0,($J184*(1+0.5*Acuity_M))-(Model!$G$24*(1+OTCapPct)*(Cap_Doc*$C184*(1-$G184)))),MAX(0,($J184)-(Model!$G$6*(1+OTCapPct)*(Cap_Nurse*$C184*(1-$H184)))),MAX(0,($J184)-(Model!$G$15*(1+OTCapPct)*(Cap_Tech*$C184*(1-$I184)))),MAX(0,$J184-((BedsCurrent+BedsAdded)*ShiftHours*$F184/BedHr_M)),MAX(0,$J184*Acuity_M-(ImgBase+ImgExpOn*ImgExpAdd)),MAX(0,$J184-(LabBase+LabExpOn*LabExpAdd)))</f>
        <v>0</v>
      </c>
      <c r="N184" s="11">
        <f ca="1">MAX(MAX(0,($K184*(1+0.5*Acuity_E))-(Model!$G$25*(1+OTCapPct)*(Cap_Doc*$C184*(1-$G184)))),MAX(0,($K184)-(Model!$G$7*(1+OTCapPct)*(Cap_Nurse*$C184*(1-$H184)))),MAX(0,($K184)-(Model!$G$16*(1+OTCapPct)*(Cap_Tech*$C184*(1-$I184)))),MAX(0,$K184-((BedsCurrent+BedsAdded)*ShiftHours*$F184/BedHr_E)),MAX(0,$K184*Acuity_E-(ImgBase+ImgExpOn*ImgExpAdd)),MAX(0,$K184-(LabBase+LabExpOn*LabExpAdd)))</f>
        <v>34.491168161663381</v>
      </c>
      <c r="O184" s="11">
        <f ca="1">MAX(MAX(0,($L184*(1+0.5*Acuity_N))-(Model!$G$26*(1+OTCapPct)*(Cap_Doc*$C184*(1-$G184)))),MAX(0,($L184)-(Model!$G$8*(1+OTCapPct)*(Cap_Nurse*$C184*(1-$H184)))),MAX(0,($L184)-(Model!$G$17*(1+OTCapPct)*(Cap_Tech*$C184*(1-$I184)))),MAX(0,$L184-((BedsCurrent+BedsAdded)*ShiftHours*$F184/BedHr_N)),MAX(0,$L184*Acuity_N-(ImgBase+ImgExpOn*ImgExpAdd)),MAX(0,$L184-(LabBase+LabExpOn*LabExpAdd)))</f>
        <v>0</v>
      </c>
      <c r="P184" s="11">
        <f t="shared" ca="1" si="35"/>
        <v>34.491168161663381</v>
      </c>
      <c r="Q184" s="17">
        <f ca="1">((MIN(OTCapPct*Model!$G$24,MAX(0,(($J184*(1+0.5*Acuity_M))/(Cap_Doc*$C184*(1-$G184)))-Model!$G$24)))*OTCost_Doc)+((MIN(OTCapPct*Model!$G$6,MAX(0,(($J184)/(Cap_Nurse*$C184*(1-$H184)))-Model!$G$6)))*OTCost_Nurse)+((MIN(OTCapPct*Model!$G$15,MAX(0,(($J184)/(Cap_Tech*$C184*(1-$I184)))-Model!$G$15)))*OTCost_Tech)+((MIN(OTCapPct*Model!$G$25,MAX(0,(($K184*(1+0.5*Acuity_E))/(Cap_Doc*$C184*(1-$G184)))-Model!$G$25)))*OTCost_Doc)+((MIN(OTCapPct*Model!$G$7,MAX(0,(($K184)/(Cap_Nurse*$C184*(1-$H184)))-Model!$G$7)))*OTCost_Nurse)+((MIN(OTCapPct*Model!$G$16,MAX(0,(($K184)/(Cap_Tech*$C184*(1-$I184)))-Model!$G$16)))*OTCost_Tech)+((MIN(OTCapPct*Model!$G$26,MAX(0,(($L184*(1+0.5*Acuity_N))/(Cap_Doc*$C184*(1-$G184)))-Model!$G$26)))*OTCost_Doc)+((MIN(OTCapPct*Model!$G$8,MAX(0,(($L184)/(Cap_Nurse*$C184*(1-$H184)))-Model!$G$8)))*OTCost_Nurse)+((MIN(OTCapPct*Model!$G$17,MAX(0,(($L184)/(Cap_Tech*$C184*(1-$I184)))-Model!$G$17)))*OTCost_Tech)</f>
        <v>44575.069967625139</v>
      </c>
    </row>
    <row r="185" spans="1:17" x14ac:dyDescent="0.25">
      <c r="A185" s="11">
        <v>181</v>
      </c>
      <c r="B185" s="11" t="str">
        <f t="shared" ca="1" si="24"/>
        <v>Normal</v>
      </c>
      <c r="C185" s="11">
        <f t="shared" ca="1" si="25"/>
        <v>1</v>
      </c>
      <c r="D185" s="11">
        <f t="shared" ca="1" si="26"/>
        <v>0</v>
      </c>
      <c r="E185" s="11">
        <f t="shared" ca="1" si="27"/>
        <v>2</v>
      </c>
      <c r="F185" s="36">
        <f t="shared" ca="1" si="28"/>
        <v>1.0088878411903919</v>
      </c>
      <c r="G185" s="11">
        <f t="shared" ca="1" si="29"/>
        <v>6.5512724761095376E-3</v>
      </c>
      <c r="H185" s="11">
        <f t="shared" ca="1" si="30"/>
        <v>7.6528561920962856E-2</v>
      </c>
      <c r="I185" s="11">
        <f t="shared" ca="1" si="31"/>
        <v>0.10841365579688057</v>
      </c>
      <c r="J185" s="11">
        <f t="shared" ca="1" si="32"/>
        <v>97</v>
      </c>
      <c r="K185" s="11">
        <f t="shared" ca="1" si="33"/>
        <v>113</v>
      </c>
      <c r="L185" s="11">
        <f t="shared" ca="1" si="34"/>
        <v>71</v>
      </c>
      <c r="M185" s="11">
        <f ca="1">MAX(MAX(0,($J185*(1+0.5*Acuity_M))-(Model!$G$24*(1+OTCapPct)*(Cap_Doc*$C185*(1-$G185)))),MAX(0,($J185)-(Model!$G$6*(1+OTCapPct)*(Cap_Nurse*$C185*(1-$H185)))),MAX(0,($J185)-(Model!$G$15*(1+OTCapPct)*(Cap_Tech*$C185*(1-$I185)))),MAX(0,$J185-((BedsCurrent+BedsAdded)*ShiftHours*$F185/BedHr_M)),MAX(0,$J185*Acuity_M-(ImgBase+ImgExpOn*ImgExpAdd)),MAX(0,$J185-(LabBase+LabExpOn*LabExpAdd)))</f>
        <v>2</v>
      </c>
      <c r="N185" s="11">
        <f ca="1">MAX(MAX(0,($K185*(1+0.5*Acuity_E))-(Model!$G$25*(1+OTCapPct)*(Cap_Doc*$C185*(1-$G185)))),MAX(0,($K185)-(Model!$G$7*(1+OTCapPct)*(Cap_Nurse*$C185*(1-$H185)))),MAX(0,($K185)-(Model!$G$16*(1+OTCapPct)*(Cap_Tech*$C185*(1-$I185)))),MAX(0,$K185-((BedsCurrent+BedsAdded)*ShiftHours*$F185/BedHr_E)),MAX(0,$K185*Acuity_E-(ImgBase+ImgExpOn*ImgExpAdd)),MAX(0,$K185-(LabBase+LabExpOn*LabExpAdd)))</f>
        <v>18</v>
      </c>
      <c r="O185" s="11">
        <f ca="1">MAX(MAX(0,($L185*(1+0.5*Acuity_N))-(Model!$G$26*(1+OTCapPct)*(Cap_Doc*$C185*(1-$G185)))),MAX(0,($L185)-(Model!$G$8*(1+OTCapPct)*(Cap_Nurse*$C185*(1-$H185)))),MAX(0,($L185)-(Model!$G$17*(1+OTCapPct)*(Cap_Tech*$C185*(1-$I185)))),MAX(0,$L185-((BedsCurrent+BedsAdded)*ShiftHours*$F185/BedHr_N)),MAX(0,$L185*Acuity_N-(ImgBase+ImgExpOn*ImgExpAdd)),MAX(0,$L185-(LabBase+LabExpOn*LabExpAdd)))</f>
        <v>0</v>
      </c>
      <c r="P185" s="11">
        <f t="shared" ca="1" si="35"/>
        <v>20</v>
      </c>
      <c r="Q185" s="17">
        <f ca="1">((MIN(OTCapPct*Model!$G$24,MAX(0,(($J185*(1+0.5*Acuity_M))/(Cap_Doc*$C185*(1-$G185)))-Model!$G$24)))*OTCost_Doc)+((MIN(OTCapPct*Model!$G$6,MAX(0,(($J185)/(Cap_Nurse*$C185*(1-$H185)))-Model!$G$6)))*OTCost_Nurse)+((MIN(OTCapPct*Model!$G$15,MAX(0,(($J185)/(Cap_Tech*$C185*(1-$I185)))-Model!$G$15)))*OTCost_Tech)+((MIN(OTCapPct*Model!$G$25,MAX(0,(($K185*(1+0.5*Acuity_E))/(Cap_Doc*$C185*(1-$G185)))-Model!$G$25)))*OTCost_Doc)+((MIN(OTCapPct*Model!$G$7,MAX(0,(($K185)/(Cap_Nurse*$C185*(1-$H185)))-Model!$G$7)))*OTCost_Nurse)+((MIN(OTCapPct*Model!$G$16,MAX(0,(($K185)/(Cap_Tech*$C185*(1-$I185)))-Model!$G$16)))*OTCost_Tech)+((MIN(OTCapPct*Model!$G$26,MAX(0,(($L185*(1+0.5*Acuity_N))/(Cap_Doc*$C185*(1-$G185)))-Model!$G$26)))*OTCost_Doc)+((MIN(OTCapPct*Model!$G$8,MAX(0,(($L185)/(Cap_Nurse*$C185*(1-$H185)))-Model!$G$8)))*OTCost_Nurse)+((MIN(OTCapPct*Model!$G$17,MAX(0,(($L185)/(Cap_Tech*$C185*(1-$I185)))-Model!$G$17)))*OTCost_Tech)</f>
        <v>43735.442850653802</v>
      </c>
    </row>
    <row r="186" spans="1:17" x14ac:dyDescent="0.25">
      <c r="A186" s="11">
        <v>182</v>
      </c>
      <c r="B186" s="11" t="str">
        <f t="shared" ca="1" si="24"/>
        <v>Normal</v>
      </c>
      <c r="C186" s="11">
        <f t="shared" ca="1" si="25"/>
        <v>1</v>
      </c>
      <c r="D186" s="11">
        <f t="shared" ca="1" si="26"/>
        <v>0</v>
      </c>
      <c r="E186" s="11">
        <f t="shared" ca="1" si="27"/>
        <v>3</v>
      </c>
      <c r="F186" s="36">
        <f t="shared" ca="1" si="28"/>
        <v>1.1998819755765735</v>
      </c>
      <c r="G186" s="11">
        <f t="shared" ca="1" si="29"/>
        <v>0.15961523553359075</v>
      </c>
      <c r="H186" s="11">
        <f t="shared" ca="1" si="30"/>
        <v>7.7337318738458227E-2</v>
      </c>
      <c r="I186" s="11">
        <f t="shared" ca="1" si="31"/>
        <v>0</v>
      </c>
      <c r="J186" s="11">
        <f t="shared" ca="1" si="32"/>
        <v>94</v>
      </c>
      <c r="K186" s="11">
        <f t="shared" ca="1" si="33"/>
        <v>139</v>
      </c>
      <c r="L186" s="11">
        <f t="shared" ca="1" si="34"/>
        <v>53</v>
      </c>
      <c r="M186" s="11">
        <f ca="1">MAX(MAX(0,($J186*(1+0.5*Acuity_M))-(Model!$G$24*(1+OTCapPct)*(Cap_Doc*$C186*(1-$G186)))),MAX(0,($J186)-(Model!$G$6*(1+OTCapPct)*(Cap_Nurse*$C186*(1-$H186)))),MAX(0,($J186)-(Model!$G$15*(1+OTCapPct)*(Cap_Tech*$C186*(1-$I186)))),MAX(0,$J186-((BedsCurrent+BedsAdded)*ShiftHours*$F186/BedHr_M)),MAX(0,$J186*Acuity_M-(ImgBase+ImgExpOn*ImgExpAdd)),MAX(0,$J186-(LabBase+LabExpOn*LabExpAdd)))</f>
        <v>9.7967139975289541</v>
      </c>
      <c r="N186" s="11">
        <f ca="1">MAX(MAX(0,($K186*(1+0.5*Acuity_E))-(Model!$G$25*(1+OTCapPct)*(Cap_Doc*$C186*(1-$G186)))),MAX(0,($K186)-(Model!$G$7*(1+OTCapPct)*(Cap_Nurse*$C186*(1-$H186)))),MAX(0,($K186)-(Model!$G$16*(1+OTCapPct)*(Cap_Tech*$C186*(1-$I186)))),MAX(0,$K186-((BedsCurrent+BedsAdded)*ShiftHours*$F186/BedHr_E)),MAX(0,$K186*Acuity_E-(ImgBase+ImgExpOn*ImgExpAdd)),MAX(0,$K186-(LabBase+LabExpOn*LabExpAdd)))</f>
        <v>44</v>
      </c>
      <c r="O186" s="11">
        <f ca="1">MAX(MAX(0,($L186*(1+0.5*Acuity_N))-(Model!$G$26*(1+OTCapPct)*(Cap_Doc*$C186*(1-$G186)))),MAX(0,($L186)-(Model!$G$8*(1+OTCapPct)*(Cap_Nurse*$C186*(1-$H186)))),MAX(0,($L186)-(Model!$G$17*(1+OTCapPct)*(Cap_Tech*$C186*(1-$I186)))),MAX(0,$L186-((BedsCurrent+BedsAdded)*ShiftHours*$F186/BedHr_N)),MAX(0,$L186*Acuity_N-(ImgBase+ImgExpOn*ImgExpAdd)),MAX(0,$L186-(LabBase+LabExpOn*LabExpAdd)))</f>
        <v>0</v>
      </c>
      <c r="P186" s="11">
        <f t="shared" ca="1" si="35"/>
        <v>53.796713997528954</v>
      </c>
      <c r="Q186" s="17">
        <f ca="1">((MIN(OTCapPct*Model!$G$24,MAX(0,(($J186*(1+0.5*Acuity_M))/(Cap_Doc*$C186*(1-$G186)))-Model!$G$24)))*OTCost_Doc)+((MIN(OTCapPct*Model!$G$6,MAX(0,(($J186)/(Cap_Nurse*$C186*(1-$H186)))-Model!$G$6)))*OTCost_Nurse)+((MIN(OTCapPct*Model!$G$15,MAX(0,(($J186)/(Cap_Tech*$C186*(1-$I186)))-Model!$G$15)))*OTCost_Tech)+((MIN(OTCapPct*Model!$G$25,MAX(0,(($K186*(1+0.5*Acuity_E))/(Cap_Doc*$C186*(1-$G186)))-Model!$G$25)))*OTCost_Doc)+((MIN(OTCapPct*Model!$G$7,MAX(0,(($K186)/(Cap_Nurse*$C186*(1-$H186)))-Model!$G$7)))*OTCost_Nurse)+((MIN(OTCapPct*Model!$G$16,MAX(0,(($K186)/(Cap_Tech*$C186*(1-$I186)))-Model!$G$16)))*OTCost_Tech)+((MIN(OTCapPct*Model!$G$26,MAX(0,(($L186*(1+0.5*Acuity_N))/(Cap_Doc*$C186*(1-$G186)))-Model!$G$26)))*OTCost_Doc)+((MIN(OTCapPct*Model!$G$8,MAX(0,(($L186)/(Cap_Nurse*$C186*(1-$H186)))-Model!$G$8)))*OTCost_Nurse)+((MIN(OTCapPct*Model!$G$17,MAX(0,(($L186)/(Cap_Tech*$C186*(1-$I186)))-Model!$G$17)))*OTCost_Tech)</f>
        <v>70662.547447073957</v>
      </c>
    </row>
    <row r="187" spans="1:17" x14ac:dyDescent="0.25">
      <c r="A187" s="11">
        <v>183</v>
      </c>
      <c r="B187" s="11" t="str">
        <f t="shared" ca="1" si="24"/>
        <v>Complex</v>
      </c>
      <c r="C187" s="11">
        <f t="shared" ca="1" si="25"/>
        <v>0.9</v>
      </c>
      <c r="D187" s="11">
        <f t="shared" ca="1" si="26"/>
        <v>0</v>
      </c>
      <c r="E187" s="11">
        <f t="shared" ca="1" si="27"/>
        <v>2</v>
      </c>
      <c r="F187" s="36">
        <f t="shared" ca="1" si="28"/>
        <v>1.0392044133538183</v>
      </c>
      <c r="G187" s="11">
        <f t="shared" ca="1" si="29"/>
        <v>9.7670312283106228E-2</v>
      </c>
      <c r="H187" s="11">
        <f t="shared" ca="1" si="30"/>
        <v>7.9495087636469813E-2</v>
      </c>
      <c r="I187" s="11">
        <f t="shared" ca="1" si="31"/>
        <v>0.14480967159838176</v>
      </c>
      <c r="J187" s="11">
        <f t="shared" ca="1" si="32"/>
        <v>88</v>
      </c>
      <c r="K187" s="11">
        <f t="shared" ca="1" si="33"/>
        <v>100</v>
      </c>
      <c r="L187" s="11">
        <f t="shared" ca="1" si="34"/>
        <v>83</v>
      </c>
      <c r="M187" s="11">
        <f ca="1">MAX(MAX(0,($J187*(1+0.5*Acuity_M))-(Model!$G$24*(1+OTCapPct)*(Cap_Doc*$C187*(1-$G187)))),MAX(0,($J187)-(Model!$G$6*(1+OTCapPct)*(Cap_Nurse*$C187*(1-$H187)))),MAX(0,($J187)-(Model!$G$15*(1+OTCapPct)*(Cap_Tech*$C187*(1-$I187)))),MAX(0,$J187-((BedsCurrent+BedsAdded)*ShiftHours*$F187/BedHr_M)),MAX(0,$J187*Acuity_M-(ImgBase+ImgExpOn*ImgExpAdd)),MAX(0,$J187-(LabBase+LabExpOn*LabExpAdd)))</f>
        <v>6.319119118664517</v>
      </c>
      <c r="N187" s="11">
        <f ca="1">MAX(MAX(0,($K187*(1+0.5*Acuity_E))-(Model!$G$25*(1+OTCapPct)*(Cap_Doc*$C187*(1-$G187)))),MAX(0,($K187)-(Model!$G$7*(1+OTCapPct)*(Cap_Nurse*$C187*(1-$H187)))),MAX(0,($K187)-(Model!$G$16*(1+OTCapPct)*(Cap_Tech*$C187*(1-$I187)))),MAX(0,$K187-((BedsCurrent+BedsAdded)*ShiftHours*$F187/BedHr_E)),MAX(0,$K187*Acuity_E-(ImgBase+ImgExpOn*ImgExpAdd)),MAX(0,$K187-(LabBase+LabExpOn*LabExpAdd)))</f>
        <v>5</v>
      </c>
      <c r="O187" s="11">
        <f ca="1">MAX(MAX(0,($L187*(1+0.5*Acuity_N))-(Model!$G$26*(1+OTCapPct)*(Cap_Doc*$C187*(1-$G187)))),MAX(0,($L187)-(Model!$G$8*(1+OTCapPct)*(Cap_Nurse*$C187*(1-$H187)))),MAX(0,($L187)-(Model!$G$17*(1+OTCapPct)*(Cap_Tech*$C187*(1-$I187)))),MAX(0,$L187-((BedsCurrent+BedsAdded)*ShiftHours*$F187/BedHr_N)),MAX(0,$L187*Acuity_N-(ImgBase+ImgExpOn*ImgExpAdd)),MAX(0,$L187-(LabBase+LabExpOn*LabExpAdd)))</f>
        <v>22.361295294931594</v>
      </c>
      <c r="P187" s="11">
        <f t="shared" ca="1" si="35"/>
        <v>33.680414413596111</v>
      </c>
      <c r="Q187" s="17">
        <f ca="1">((MIN(OTCapPct*Model!$G$24,MAX(0,(($J187*(1+0.5*Acuity_M))/(Cap_Doc*$C187*(1-$G187)))-Model!$G$24)))*OTCost_Doc)+((MIN(OTCapPct*Model!$G$6,MAX(0,(($J187)/(Cap_Nurse*$C187*(1-$H187)))-Model!$G$6)))*OTCost_Nurse)+((MIN(OTCapPct*Model!$G$15,MAX(0,(($J187)/(Cap_Tech*$C187*(1-$I187)))-Model!$G$15)))*OTCost_Tech)+((MIN(OTCapPct*Model!$G$25,MAX(0,(($K187*(1+0.5*Acuity_E))/(Cap_Doc*$C187*(1-$G187)))-Model!$G$25)))*OTCost_Doc)+((MIN(OTCapPct*Model!$G$7,MAX(0,(($K187)/(Cap_Nurse*$C187*(1-$H187)))-Model!$G$7)))*OTCost_Nurse)+((MIN(OTCapPct*Model!$G$16,MAX(0,(($K187)/(Cap_Tech*$C187*(1-$I187)))-Model!$G$16)))*OTCost_Tech)+((MIN(OTCapPct*Model!$G$26,MAX(0,(($L187*(1+0.5*Acuity_N))/(Cap_Doc*$C187*(1-$G187)))-Model!$G$26)))*OTCost_Doc)+((MIN(OTCapPct*Model!$G$8,MAX(0,(($L187)/(Cap_Nurse*$C187*(1-$H187)))-Model!$G$8)))*OTCost_Nurse)+((MIN(OTCapPct*Model!$G$17,MAX(0,(($L187)/(Cap_Tech*$C187*(1-$I187)))-Model!$G$17)))*OTCost_Tech)</f>
        <v>71043.12840482594</v>
      </c>
    </row>
    <row r="188" spans="1:17" x14ac:dyDescent="0.25">
      <c r="A188" s="11">
        <v>184</v>
      </c>
      <c r="B188" s="11" t="str">
        <f t="shared" ca="1" si="24"/>
        <v>Severe</v>
      </c>
      <c r="C188" s="11">
        <f t="shared" ca="1" si="25"/>
        <v>0.8</v>
      </c>
      <c r="D188" s="11">
        <f t="shared" ca="1" si="26"/>
        <v>0</v>
      </c>
      <c r="E188" s="11">
        <f t="shared" ca="1" si="27"/>
        <v>3</v>
      </c>
      <c r="F188" s="36">
        <f t="shared" ca="1" si="28"/>
        <v>0.90809399402584789</v>
      </c>
      <c r="G188" s="11">
        <f t="shared" ca="1" si="29"/>
        <v>6.5095106077680459E-2</v>
      </c>
      <c r="H188" s="11">
        <f t="shared" ca="1" si="30"/>
        <v>7.4812423696363553E-3</v>
      </c>
      <c r="I188" s="11">
        <f t="shared" ca="1" si="31"/>
        <v>0.13291266739237165</v>
      </c>
      <c r="J188" s="11">
        <f t="shared" ca="1" si="32"/>
        <v>93</v>
      </c>
      <c r="K188" s="11">
        <f t="shared" ca="1" si="33"/>
        <v>170</v>
      </c>
      <c r="L188" s="11">
        <f t="shared" ca="1" si="34"/>
        <v>58</v>
      </c>
      <c r="M188" s="11">
        <f ca="1">MAX(MAX(0,($J188*(1+0.5*Acuity_M))-(Model!$G$24*(1+OTCapPct)*(Cap_Doc*$C188*(1-$G188)))),MAX(0,($J188)-(Model!$G$6*(1+OTCapPct)*(Cap_Nurse*$C188*(1-$H188)))),MAX(0,($J188)-(Model!$G$15*(1+OTCapPct)*(Cap_Tech*$C188*(1-$I188)))),MAX(0,$J188-((BedsCurrent+BedsAdded)*ShiftHours*$F188/BedHr_M)),MAX(0,$J188*Acuity_M-(ImgBase+ImgExpOn*ImgExpAdd)),MAX(0,$J188-(LabBase+LabExpOn*LabExpAdd)))</f>
        <v>19.088559546991235</v>
      </c>
      <c r="N188" s="11">
        <f ca="1">MAX(MAX(0,($K188*(1+0.5*Acuity_E))-(Model!$G$25*(1+OTCapPct)*(Cap_Doc*$C188*(1-$G188)))),MAX(0,($K188)-(Model!$G$7*(1+OTCapPct)*(Cap_Nurse*$C188*(1-$H188)))),MAX(0,($K188)-(Model!$G$16*(1+OTCapPct)*(Cap_Tech*$C188*(1-$I188)))),MAX(0,$K188-((BedsCurrent+BedsAdded)*ShiftHours*$F188/BedHr_E)),MAX(0,$K188*Acuity_E-(ImgBase+ImgExpOn*ImgExpAdd)),MAX(0,$K188-(LabBase+LabExpOn*LabExpAdd)))</f>
        <v>76.001983365787737</v>
      </c>
      <c r="O188" s="11">
        <f ca="1">MAX(MAX(0,($L188*(1+0.5*Acuity_N))-(Model!$G$26*(1+OTCapPct)*(Cap_Doc*$C188*(1-$G188)))),MAX(0,($L188)-(Model!$G$8*(1+OTCapPct)*(Cap_Nurse*$C188*(1-$H188)))),MAX(0,($L188)-(Model!$G$17*(1+OTCapPct)*(Cap_Tech*$C188*(1-$I188)))),MAX(0,$L188-((BedsCurrent+BedsAdded)*ShiftHours*$F188/BedHr_N)),MAX(0,$L188*Acuity_N-(ImgBase+ImgExpOn*ImgExpAdd)),MAX(0,$L188-(LabBase+LabExpOn*LabExpAdd)))</f>
        <v>0</v>
      </c>
      <c r="P188" s="11">
        <f t="shared" ca="1" si="35"/>
        <v>95.090542912778972</v>
      </c>
      <c r="Q188" s="17">
        <f ca="1">((MIN(OTCapPct*Model!$G$24,MAX(0,(($J188*(1+0.5*Acuity_M))/(Cap_Doc*$C188*(1-$G188)))-Model!$G$24)))*OTCost_Doc)+((MIN(OTCapPct*Model!$G$6,MAX(0,(($J188)/(Cap_Nurse*$C188*(1-$H188)))-Model!$G$6)))*OTCost_Nurse)+((MIN(OTCapPct*Model!$G$15,MAX(0,(($J188)/(Cap_Tech*$C188*(1-$I188)))-Model!$G$15)))*OTCost_Tech)+((MIN(OTCapPct*Model!$G$25,MAX(0,(($K188*(1+0.5*Acuity_E))/(Cap_Doc*$C188*(1-$G188)))-Model!$G$25)))*OTCost_Doc)+((MIN(OTCapPct*Model!$G$7,MAX(0,(($K188)/(Cap_Nurse*$C188*(1-$H188)))-Model!$G$7)))*OTCost_Nurse)+((MIN(OTCapPct*Model!$G$16,MAX(0,(($K188)/(Cap_Tech*$C188*(1-$I188)))-Model!$G$16)))*OTCost_Tech)+((MIN(OTCapPct*Model!$G$26,MAX(0,(($L188*(1+0.5*Acuity_N))/(Cap_Doc*$C188*(1-$G188)))-Model!$G$26)))*OTCost_Doc)+((MIN(OTCapPct*Model!$G$8,MAX(0,(($L188)/(Cap_Nurse*$C188*(1-$H188)))-Model!$G$8)))*OTCost_Nurse)+((MIN(OTCapPct*Model!$G$17,MAX(0,(($L188)/(Cap_Tech*$C188*(1-$I188)))-Model!$G$17)))*OTCost_Tech)</f>
        <v>90326.98812285006</v>
      </c>
    </row>
    <row r="189" spans="1:17" x14ac:dyDescent="0.25">
      <c r="A189" s="11">
        <v>185</v>
      </c>
      <c r="B189" s="11" t="str">
        <f t="shared" ca="1" si="24"/>
        <v>Normal</v>
      </c>
      <c r="C189" s="11">
        <f t="shared" ca="1" si="25"/>
        <v>1</v>
      </c>
      <c r="D189" s="11">
        <f t="shared" ca="1" si="26"/>
        <v>0</v>
      </c>
      <c r="E189" s="11">
        <f t="shared" ca="1" si="27"/>
        <v>1</v>
      </c>
      <c r="F189" s="36">
        <f t="shared" ca="1" si="28"/>
        <v>1.0550079944559438</v>
      </c>
      <c r="G189" s="11">
        <f t="shared" ca="1" si="29"/>
        <v>0.11429423423139737</v>
      </c>
      <c r="H189" s="11">
        <f t="shared" ca="1" si="30"/>
        <v>4.9857793832824536E-2</v>
      </c>
      <c r="I189" s="11">
        <f t="shared" ca="1" si="31"/>
        <v>3.9895025838523196E-4</v>
      </c>
      <c r="J189" s="11">
        <f t="shared" ca="1" si="32"/>
        <v>86</v>
      </c>
      <c r="K189" s="11">
        <f t="shared" ca="1" si="33"/>
        <v>130</v>
      </c>
      <c r="L189" s="11">
        <f t="shared" ca="1" si="34"/>
        <v>67</v>
      </c>
      <c r="M189" s="11">
        <f ca="1">MAX(MAX(0,($J189*(1+0.5*Acuity_M))-(Model!$G$24*(1+OTCapPct)*(Cap_Doc*$C189*(1-$G189)))),MAX(0,($J189)-(Model!$G$6*(1+OTCapPct)*(Cap_Nurse*$C189*(1-$H189)))),MAX(0,($J189)-(Model!$G$15*(1+OTCapPct)*(Cap_Tech*$C189*(1-$I189)))),MAX(0,$J189-((BedsCurrent+BedsAdded)*ShiftHours*$F189/BedHr_M)),MAX(0,$J189*Acuity_M-(ImgBase+ImgExpOn*ImgExpAdd)),MAX(0,$J189-(LabBase+LabExpOn*LabExpAdd)))</f>
        <v>0</v>
      </c>
      <c r="N189" s="11">
        <f ca="1">MAX(MAX(0,($K189*(1+0.5*Acuity_E))-(Model!$G$25*(1+OTCapPct)*(Cap_Doc*$C189*(1-$G189)))),MAX(0,($K189)-(Model!$G$7*(1+OTCapPct)*(Cap_Nurse*$C189*(1-$H189)))),MAX(0,($K189)-(Model!$G$16*(1+OTCapPct)*(Cap_Tech*$C189*(1-$I189)))),MAX(0,$K189-((BedsCurrent+BedsAdded)*ShiftHours*$F189/BedHr_E)),MAX(0,$K189*Acuity_E-(ImgBase+ImgExpOn*ImgExpAdd)),MAX(0,$K189-(LabBase+LabExpOn*LabExpAdd)))</f>
        <v>35</v>
      </c>
      <c r="O189" s="11">
        <f ca="1">MAX(MAX(0,($L189*(1+0.5*Acuity_N))-(Model!$G$26*(1+OTCapPct)*(Cap_Doc*$C189*(1-$G189)))),MAX(0,($L189)-(Model!$G$8*(1+OTCapPct)*(Cap_Nurse*$C189*(1-$H189)))),MAX(0,($L189)-(Model!$G$17*(1+OTCapPct)*(Cap_Tech*$C189*(1-$I189)))),MAX(0,$L189-((BedsCurrent+BedsAdded)*ShiftHours*$F189/BedHr_N)),MAX(0,$L189*Acuity_N-(ImgBase+ImgExpOn*ImgExpAdd)),MAX(0,$L189-(LabBase+LabExpOn*LabExpAdd)))</f>
        <v>0</v>
      </c>
      <c r="P189" s="11">
        <f t="shared" ca="1" si="35"/>
        <v>35</v>
      </c>
      <c r="Q189" s="17">
        <f ca="1">((MIN(OTCapPct*Model!$G$24,MAX(0,(($J189*(1+0.5*Acuity_M))/(Cap_Doc*$C189*(1-$G189)))-Model!$G$24)))*OTCost_Doc)+((MIN(OTCapPct*Model!$G$6,MAX(0,(($J189)/(Cap_Nurse*$C189*(1-$H189)))-Model!$G$6)))*OTCost_Nurse)+((MIN(OTCapPct*Model!$G$15,MAX(0,(($J189)/(Cap_Tech*$C189*(1-$I189)))-Model!$G$15)))*OTCost_Tech)+((MIN(OTCapPct*Model!$G$25,MAX(0,(($K189*(1+0.5*Acuity_E))/(Cap_Doc*$C189*(1-$G189)))-Model!$G$25)))*OTCost_Doc)+((MIN(OTCapPct*Model!$G$7,MAX(0,(($K189)/(Cap_Nurse*$C189*(1-$H189)))-Model!$G$7)))*OTCost_Nurse)+((MIN(OTCapPct*Model!$G$16,MAX(0,(($K189)/(Cap_Tech*$C189*(1-$I189)))-Model!$G$16)))*OTCost_Tech)+((MIN(OTCapPct*Model!$G$26,MAX(0,(($L189*(1+0.5*Acuity_N))/(Cap_Doc*$C189*(1-$G189)))-Model!$G$26)))*OTCost_Doc)+((MIN(OTCapPct*Model!$G$8,MAX(0,(($L189)/(Cap_Nurse*$C189*(1-$H189)))-Model!$G$8)))*OTCost_Nurse)+((MIN(OTCapPct*Model!$G$17,MAX(0,(($L189)/(Cap_Tech*$C189*(1-$I189)))-Model!$G$17)))*OTCost_Tech)</f>
        <v>62518.197243355746</v>
      </c>
    </row>
    <row r="190" spans="1:17" x14ac:dyDescent="0.25">
      <c r="A190" s="11">
        <v>186</v>
      </c>
      <c r="B190" s="11" t="str">
        <f t="shared" ca="1" si="24"/>
        <v>Normal</v>
      </c>
      <c r="C190" s="11">
        <f t="shared" ca="1" si="25"/>
        <v>1</v>
      </c>
      <c r="D190" s="11">
        <f t="shared" ca="1" si="26"/>
        <v>0</v>
      </c>
      <c r="E190" s="11">
        <f t="shared" ca="1" si="27"/>
        <v>2</v>
      </c>
      <c r="F190" s="36">
        <f t="shared" ca="1" si="28"/>
        <v>1.0105228431211499</v>
      </c>
      <c r="G190" s="11">
        <f t="shared" ca="1" si="29"/>
        <v>5.1535360749756648E-2</v>
      </c>
      <c r="H190" s="11">
        <f t="shared" ca="1" si="30"/>
        <v>0</v>
      </c>
      <c r="I190" s="11">
        <f t="shared" ca="1" si="31"/>
        <v>0</v>
      </c>
      <c r="J190" s="11">
        <f t="shared" ca="1" si="32"/>
        <v>75</v>
      </c>
      <c r="K190" s="11">
        <f t="shared" ca="1" si="33"/>
        <v>118</v>
      </c>
      <c r="L190" s="11">
        <f t="shared" ca="1" si="34"/>
        <v>65</v>
      </c>
      <c r="M190" s="11">
        <f ca="1">MAX(MAX(0,($J190*(1+0.5*Acuity_M))-(Model!$G$24*(1+OTCapPct)*(Cap_Doc*$C190*(1-$G190)))),MAX(0,($J190)-(Model!$G$6*(1+OTCapPct)*(Cap_Nurse*$C190*(1-$H190)))),MAX(0,($J190)-(Model!$G$15*(1+OTCapPct)*(Cap_Tech*$C190*(1-$I190)))),MAX(0,$J190-((BedsCurrent+BedsAdded)*ShiftHours*$F190/BedHr_M)),MAX(0,$J190*Acuity_M-(ImgBase+ImgExpOn*ImgExpAdd)),MAX(0,$J190-(LabBase+LabExpOn*LabExpAdd)))</f>
        <v>0</v>
      </c>
      <c r="N190" s="11">
        <f ca="1">MAX(MAX(0,($K190*(1+0.5*Acuity_E))-(Model!$G$25*(1+OTCapPct)*(Cap_Doc*$C190*(1-$G190)))),MAX(0,($K190)-(Model!$G$7*(1+OTCapPct)*(Cap_Nurse*$C190*(1-$H190)))),MAX(0,($K190)-(Model!$G$16*(1+OTCapPct)*(Cap_Tech*$C190*(1-$I190)))),MAX(0,$K190-((BedsCurrent+BedsAdded)*ShiftHours*$F190/BedHr_E)),MAX(0,$K190*Acuity_E-(ImgBase+ImgExpOn*ImgExpAdd)),MAX(0,$K190-(LabBase+LabExpOn*LabExpAdd)))</f>
        <v>23</v>
      </c>
      <c r="O190" s="11">
        <f ca="1">MAX(MAX(0,($L190*(1+0.5*Acuity_N))-(Model!$G$26*(1+OTCapPct)*(Cap_Doc*$C190*(1-$G190)))),MAX(0,($L190)-(Model!$G$8*(1+OTCapPct)*(Cap_Nurse*$C190*(1-$H190)))),MAX(0,($L190)-(Model!$G$17*(1+OTCapPct)*(Cap_Tech*$C190*(1-$I190)))),MAX(0,$L190-((BedsCurrent+BedsAdded)*ShiftHours*$F190/BedHr_N)),MAX(0,$L190*Acuity_N-(ImgBase+ImgExpOn*ImgExpAdd)),MAX(0,$L190-(LabBase+LabExpOn*LabExpAdd)))</f>
        <v>0</v>
      </c>
      <c r="P190" s="11">
        <f t="shared" ca="1" si="35"/>
        <v>23</v>
      </c>
      <c r="Q190" s="17">
        <f ca="1">((MIN(OTCapPct*Model!$G$24,MAX(0,(($J190*(1+0.5*Acuity_M))/(Cap_Doc*$C190*(1-$G190)))-Model!$G$24)))*OTCost_Doc)+((MIN(OTCapPct*Model!$G$6,MAX(0,(($J190)/(Cap_Nurse*$C190*(1-$H190)))-Model!$G$6)))*OTCost_Nurse)+((MIN(OTCapPct*Model!$G$15,MAX(0,(($J190)/(Cap_Tech*$C190*(1-$I190)))-Model!$G$15)))*OTCost_Tech)+((MIN(OTCapPct*Model!$G$25,MAX(0,(($K190*(1+0.5*Acuity_E))/(Cap_Doc*$C190*(1-$G190)))-Model!$G$25)))*OTCost_Doc)+((MIN(OTCapPct*Model!$G$7,MAX(0,(($K190)/(Cap_Nurse*$C190*(1-$H190)))-Model!$G$7)))*OTCost_Nurse)+((MIN(OTCapPct*Model!$G$16,MAX(0,(($K190)/(Cap_Tech*$C190*(1-$I190)))-Model!$G$16)))*OTCost_Tech)+((MIN(OTCapPct*Model!$G$26,MAX(0,(($L190*(1+0.5*Acuity_N))/(Cap_Doc*$C190*(1-$G190)))-Model!$G$26)))*OTCost_Doc)+((MIN(OTCapPct*Model!$G$8,MAX(0,(($L190)/(Cap_Nurse*$C190*(1-$H190)))-Model!$G$8)))*OTCost_Nurse)+((MIN(OTCapPct*Model!$G$17,MAX(0,(($L190)/(Cap_Tech*$C190*(1-$I190)))-Model!$G$17)))*OTCost_Tech)</f>
        <v>16980.602549474257</v>
      </c>
    </row>
    <row r="191" spans="1:17" x14ac:dyDescent="0.25">
      <c r="A191" s="11">
        <v>187</v>
      </c>
      <c r="B191" s="11" t="str">
        <f t="shared" ca="1" si="24"/>
        <v>Normal</v>
      </c>
      <c r="C191" s="11">
        <f t="shared" ca="1" si="25"/>
        <v>1</v>
      </c>
      <c r="D191" s="11">
        <f t="shared" ca="1" si="26"/>
        <v>0</v>
      </c>
      <c r="E191" s="11">
        <f t="shared" ca="1" si="27"/>
        <v>1</v>
      </c>
      <c r="F191" s="36">
        <f t="shared" ca="1" si="28"/>
        <v>1.1593471770843486</v>
      </c>
      <c r="G191" s="11">
        <f t="shared" ca="1" si="29"/>
        <v>7.3896270997282146E-2</v>
      </c>
      <c r="H191" s="11">
        <f t="shared" ca="1" si="30"/>
        <v>7.6707012271337957E-2</v>
      </c>
      <c r="I191" s="11">
        <f t="shared" ca="1" si="31"/>
        <v>5.8876063568321577E-2</v>
      </c>
      <c r="J191" s="11">
        <f t="shared" ca="1" si="32"/>
        <v>84</v>
      </c>
      <c r="K191" s="11">
        <f t="shared" ca="1" si="33"/>
        <v>172</v>
      </c>
      <c r="L191" s="11">
        <f t="shared" ca="1" si="34"/>
        <v>56</v>
      </c>
      <c r="M191" s="11">
        <f ca="1">MAX(MAX(0,($J191*(1+0.5*Acuity_M))-(Model!$G$24*(1+OTCapPct)*(Cap_Doc*$C191*(1-$G191)))),MAX(0,($J191)-(Model!$G$6*(1+OTCapPct)*(Cap_Nurse*$C191*(1-$H191)))),MAX(0,($J191)-(Model!$G$15*(1+OTCapPct)*(Cap_Tech*$C191*(1-$I191)))),MAX(0,$J191-((BedsCurrent+BedsAdded)*ShiftHours*$F191/BedHr_M)),MAX(0,$J191*Acuity_M-(ImgBase+ImgExpOn*ImgExpAdd)),MAX(0,$J191-(LabBase+LabExpOn*LabExpAdd)))</f>
        <v>0</v>
      </c>
      <c r="N191" s="11">
        <f ca="1">MAX(MAX(0,($K191*(1+0.5*Acuity_E))-(Model!$G$25*(1+OTCapPct)*(Cap_Doc*$C191*(1-$G191)))),MAX(0,($K191)-(Model!$G$7*(1+OTCapPct)*(Cap_Nurse*$C191*(1-$H191)))),MAX(0,($K191)-(Model!$G$16*(1+OTCapPct)*(Cap_Tech*$C191*(1-$I191)))),MAX(0,$K191-((BedsCurrent+BedsAdded)*ShiftHours*$F191/BedHr_E)),MAX(0,$K191*Acuity_E-(ImgBase+ImgExpOn*ImgExpAdd)),MAX(0,$K191-(LabBase+LabExpOn*LabExpAdd)))</f>
        <v>77</v>
      </c>
      <c r="O191" s="11">
        <f ca="1">MAX(MAX(0,($L191*(1+0.5*Acuity_N))-(Model!$G$26*(1+OTCapPct)*(Cap_Doc*$C191*(1-$G191)))),MAX(0,($L191)-(Model!$G$8*(1+OTCapPct)*(Cap_Nurse*$C191*(1-$H191)))),MAX(0,($L191)-(Model!$G$17*(1+OTCapPct)*(Cap_Tech*$C191*(1-$I191)))),MAX(0,$L191-((BedsCurrent+BedsAdded)*ShiftHours*$F191/BedHr_N)),MAX(0,$L191*Acuity_N-(ImgBase+ImgExpOn*ImgExpAdd)),MAX(0,$L191-(LabBase+LabExpOn*LabExpAdd)))</f>
        <v>0</v>
      </c>
      <c r="P191" s="11">
        <f t="shared" ca="1" si="35"/>
        <v>77</v>
      </c>
      <c r="Q191" s="17">
        <f ca="1">((MIN(OTCapPct*Model!$G$24,MAX(0,(($J191*(1+0.5*Acuity_M))/(Cap_Doc*$C191*(1-$G191)))-Model!$G$24)))*OTCost_Doc)+((MIN(OTCapPct*Model!$G$6,MAX(0,(($J191)/(Cap_Nurse*$C191*(1-$H191)))-Model!$G$6)))*OTCost_Nurse)+((MIN(OTCapPct*Model!$G$15,MAX(0,(($J191)/(Cap_Tech*$C191*(1-$I191)))-Model!$G$15)))*OTCost_Tech)+((MIN(OTCapPct*Model!$G$25,MAX(0,(($K191*(1+0.5*Acuity_E))/(Cap_Doc*$C191*(1-$G191)))-Model!$G$25)))*OTCost_Doc)+((MIN(OTCapPct*Model!$G$7,MAX(0,(($K191)/(Cap_Nurse*$C191*(1-$H191)))-Model!$G$7)))*OTCost_Nurse)+((MIN(OTCapPct*Model!$G$16,MAX(0,(($K191)/(Cap_Tech*$C191*(1-$I191)))-Model!$G$16)))*OTCost_Tech)+((MIN(OTCapPct*Model!$G$26,MAX(0,(($L191*(1+0.5*Acuity_N))/(Cap_Doc*$C191*(1-$G191)))-Model!$G$26)))*OTCost_Doc)+((MIN(OTCapPct*Model!$G$8,MAX(0,(($L191)/(Cap_Nurse*$C191*(1-$H191)))-Model!$G$8)))*OTCost_Nurse)+((MIN(OTCapPct*Model!$G$17,MAX(0,(($L191)/(Cap_Tech*$C191*(1-$I191)))-Model!$G$17)))*OTCost_Tech)</f>
        <v>56665.031700348132</v>
      </c>
    </row>
    <row r="192" spans="1:17" x14ac:dyDescent="0.25">
      <c r="A192" s="11">
        <v>188</v>
      </c>
      <c r="B192" s="11" t="str">
        <f t="shared" ca="1" si="24"/>
        <v>Normal</v>
      </c>
      <c r="C192" s="11">
        <f t="shared" ca="1" si="25"/>
        <v>1</v>
      </c>
      <c r="D192" s="11">
        <f t="shared" ca="1" si="26"/>
        <v>0</v>
      </c>
      <c r="E192" s="11">
        <f t="shared" ca="1" si="27"/>
        <v>1</v>
      </c>
      <c r="F192" s="36">
        <f t="shared" ca="1" si="28"/>
        <v>0.88298761406019799</v>
      </c>
      <c r="G192" s="11">
        <f t="shared" ca="1" si="29"/>
        <v>3.4851799821566679E-2</v>
      </c>
      <c r="H192" s="11">
        <f t="shared" ca="1" si="30"/>
        <v>0.17204415017312291</v>
      </c>
      <c r="I192" s="11">
        <f t="shared" ca="1" si="31"/>
        <v>8.4661684108937832E-2</v>
      </c>
      <c r="J192" s="11">
        <f t="shared" ca="1" si="32"/>
        <v>84</v>
      </c>
      <c r="K192" s="11">
        <f t="shared" ca="1" si="33"/>
        <v>114</v>
      </c>
      <c r="L192" s="11">
        <f t="shared" ca="1" si="34"/>
        <v>66</v>
      </c>
      <c r="M192" s="11">
        <f ca="1">MAX(MAX(0,($J192*(1+0.5*Acuity_M))-(Model!$G$24*(1+OTCapPct)*(Cap_Doc*$C192*(1-$G192)))),MAX(0,($J192)-(Model!$G$6*(1+OTCapPct)*(Cap_Nurse*$C192*(1-$H192)))),MAX(0,($J192)-(Model!$G$15*(1+OTCapPct)*(Cap_Tech*$C192*(1-$I192)))),MAX(0,$J192-((BedsCurrent+BedsAdded)*ShiftHours*$F192/BedHr_M)),MAX(0,$J192*Acuity_M-(ImgBase+ImgExpOn*ImgExpAdd)),MAX(0,$J192-(LabBase+LabExpOn*LabExpAdd)))</f>
        <v>0</v>
      </c>
      <c r="N192" s="11">
        <f ca="1">MAX(MAX(0,($K192*(1+0.5*Acuity_E))-(Model!$G$25*(1+OTCapPct)*(Cap_Doc*$C192*(1-$G192)))),MAX(0,($K192)-(Model!$G$7*(1+OTCapPct)*(Cap_Nurse*$C192*(1-$H192)))),MAX(0,($K192)-(Model!$G$16*(1+OTCapPct)*(Cap_Tech*$C192*(1-$I192)))),MAX(0,$K192-((BedsCurrent+BedsAdded)*ShiftHours*$F192/BedHr_E)),MAX(0,$K192*Acuity_E-(ImgBase+ImgExpOn*ImgExpAdd)),MAX(0,$K192-(LabBase+LabExpOn*LabExpAdd)))</f>
        <v>19</v>
      </c>
      <c r="O192" s="11">
        <f ca="1">MAX(MAX(0,($L192*(1+0.5*Acuity_N))-(Model!$G$26*(1+OTCapPct)*(Cap_Doc*$C192*(1-$G192)))),MAX(0,($L192)-(Model!$G$8*(1+OTCapPct)*(Cap_Nurse*$C192*(1-$H192)))),MAX(0,($L192)-(Model!$G$17*(1+OTCapPct)*(Cap_Tech*$C192*(1-$I192)))),MAX(0,$L192-((BedsCurrent+BedsAdded)*ShiftHours*$F192/BedHr_N)),MAX(0,$L192*Acuity_N-(ImgBase+ImgExpOn*ImgExpAdd)),MAX(0,$L192-(LabBase+LabExpOn*LabExpAdd)))</f>
        <v>0</v>
      </c>
      <c r="P192" s="11">
        <f t="shared" ca="1" si="35"/>
        <v>19</v>
      </c>
      <c r="Q192" s="17">
        <f ca="1">((MIN(OTCapPct*Model!$G$24,MAX(0,(($J192*(1+0.5*Acuity_M))/(Cap_Doc*$C192*(1-$G192)))-Model!$G$24)))*OTCost_Doc)+((MIN(OTCapPct*Model!$G$6,MAX(0,(($J192)/(Cap_Nurse*$C192*(1-$H192)))-Model!$G$6)))*OTCost_Nurse)+((MIN(OTCapPct*Model!$G$15,MAX(0,(($J192)/(Cap_Tech*$C192*(1-$I192)))-Model!$G$15)))*OTCost_Tech)+((MIN(OTCapPct*Model!$G$25,MAX(0,(($K192*(1+0.5*Acuity_E))/(Cap_Doc*$C192*(1-$G192)))-Model!$G$25)))*OTCost_Doc)+((MIN(OTCapPct*Model!$G$7,MAX(0,(($K192)/(Cap_Nurse*$C192*(1-$H192)))-Model!$G$7)))*OTCost_Nurse)+((MIN(OTCapPct*Model!$G$16,MAX(0,(($K192)/(Cap_Tech*$C192*(1-$I192)))-Model!$G$16)))*OTCost_Tech)+((MIN(OTCapPct*Model!$G$26,MAX(0,(($L192*(1+0.5*Acuity_N))/(Cap_Doc*$C192*(1-$G192)))-Model!$G$26)))*OTCost_Doc)+((MIN(OTCapPct*Model!$G$8,MAX(0,(($L192)/(Cap_Nurse*$C192*(1-$H192)))-Model!$G$8)))*OTCost_Nurse)+((MIN(OTCapPct*Model!$G$17,MAX(0,(($L192)/(Cap_Tech*$C192*(1-$I192)))-Model!$G$17)))*OTCost_Tech)</f>
        <v>40692.212151204614</v>
      </c>
    </row>
    <row r="193" spans="1:17" x14ac:dyDescent="0.25">
      <c r="A193" s="11">
        <v>189</v>
      </c>
      <c r="B193" s="11" t="str">
        <f t="shared" ca="1" si="24"/>
        <v>Normal</v>
      </c>
      <c r="C193" s="11">
        <f t="shared" ca="1" si="25"/>
        <v>1</v>
      </c>
      <c r="D193" s="11">
        <f t="shared" ca="1" si="26"/>
        <v>0</v>
      </c>
      <c r="E193" s="11">
        <f t="shared" ca="1" si="27"/>
        <v>3</v>
      </c>
      <c r="F193" s="36">
        <f t="shared" ca="1" si="28"/>
        <v>1.0819817298686523</v>
      </c>
      <c r="G193" s="11">
        <f t="shared" ca="1" si="29"/>
        <v>5.2030903698285155E-2</v>
      </c>
      <c r="H193" s="11">
        <f t="shared" ca="1" si="30"/>
        <v>3.6065745400196525E-2</v>
      </c>
      <c r="I193" s="11">
        <f t="shared" ca="1" si="31"/>
        <v>0.10516627620717538</v>
      </c>
      <c r="J193" s="11">
        <f t="shared" ca="1" si="32"/>
        <v>72</v>
      </c>
      <c r="K193" s="11">
        <f t="shared" ca="1" si="33"/>
        <v>92</v>
      </c>
      <c r="L193" s="11">
        <f t="shared" ca="1" si="34"/>
        <v>76</v>
      </c>
      <c r="M193" s="11">
        <f ca="1">MAX(MAX(0,($J193*(1+0.5*Acuity_M))-(Model!$G$24*(1+OTCapPct)*(Cap_Doc*$C193*(1-$G193)))),MAX(0,($J193)-(Model!$G$6*(1+OTCapPct)*(Cap_Nurse*$C193*(1-$H193)))),MAX(0,($J193)-(Model!$G$15*(1+OTCapPct)*(Cap_Tech*$C193*(1-$I193)))),MAX(0,$J193-((BedsCurrent+BedsAdded)*ShiftHours*$F193/BedHr_M)),MAX(0,$J193*Acuity_M-(ImgBase+ImgExpOn*ImgExpAdd)),MAX(0,$J193-(LabBase+LabExpOn*LabExpAdd)))</f>
        <v>0</v>
      </c>
      <c r="N193" s="11">
        <f ca="1">MAX(MAX(0,($K193*(1+0.5*Acuity_E))-(Model!$G$25*(1+OTCapPct)*(Cap_Doc*$C193*(1-$G193)))),MAX(0,($K193)-(Model!$G$7*(1+OTCapPct)*(Cap_Nurse*$C193*(1-$H193)))),MAX(0,($K193)-(Model!$G$16*(1+OTCapPct)*(Cap_Tech*$C193*(1-$I193)))),MAX(0,$K193-((BedsCurrent+BedsAdded)*ShiftHours*$F193/BedHr_E)),MAX(0,$K193*Acuity_E-(ImgBase+ImgExpOn*ImgExpAdd)),MAX(0,$K193-(LabBase+LabExpOn*LabExpAdd)))</f>
        <v>0</v>
      </c>
      <c r="O193" s="11">
        <f ca="1">MAX(MAX(0,($L193*(1+0.5*Acuity_N))-(Model!$G$26*(1+OTCapPct)*(Cap_Doc*$C193*(1-$G193)))),MAX(0,($L193)-(Model!$G$8*(1+OTCapPct)*(Cap_Nurse*$C193*(1-$H193)))),MAX(0,($L193)-(Model!$G$17*(1+OTCapPct)*(Cap_Tech*$C193*(1-$I193)))),MAX(0,$L193-((BedsCurrent+BedsAdded)*ShiftHours*$F193/BedHr_N)),MAX(0,$L193*Acuity_N-(ImgBase+ImgExpOn*ImgExpAdd)),MAX(0,$L193-(LabBase+LabExpOn*LabExpAdd)))</f>
        <v>2.0827813328456415</v>
      </c>
      <c r="P193" s="11">
        <f t="shared" ca="1" si="35"/>
        <v>2.0827813328456415</v>
      </c>
      <c r="Q193" s="17">
        <f ca="1">((MIN(OTCapPct*Model!$G$24,MAX(0,(($J193*(1+0.5*Acuity_M))/(Cap_Doc*$C193*(1-$G193)))-Model!$G$24)))*OTCost_Doc)+((MIN(OTCapPct*Model!$G$6,MAX(0,(($J193)/(Cap_Nurse*$C193*(1-$H193)))-Model!$G$6)))*OTCost_Nurse)+((MIN(OTCapPct*Model!$G$15,MAX(0,(($J193)/(Cap_Tech*$C193*(1-$I193)))-Model!$G$15)))*OTCost_Tech)+((MIN(OTCapPct*Model!$G$25,MAX(0,(($K193*(1+0.5*Acuity_E))/(Cap_Doc*$C193*(1-$G193)))-Model!$G$25)))*OTCost_Doc)+((MIN(OTCapPct*Model!$G$7,MAX(0,(($K193)/(Cap_Nurse*$C193*(1-$H193)))-Model!$G$7)))*OTCost_Nurse)+((MIN(OTCapPct*Model!$G$16,MAX(0,(($K193)/(Cap_Tech*$C193*(1-$I193)))-Model!$G$16)))*OTCost_Tech)+((MIN(OTCapPct*Model!$G$26,MAX(0,(($L193*(1+0.5*Acuity_N))/(Cap_Doc*$C193*(1-$G193)))-Model!$G$26)))*OTCost_Doc)+((MIN(OTCapPct*Model!$G$8,MAX(0,(($L193)/(Cap_Nurse*$C193*(1-$H193)))-Model!$G$8)))*OTCost_Nurse)+((MIN(OTCapPct*Model!$G$17,MAX(0,(($L193)/(Cap_Tech*$C193*(1-$I193)))-Model!$G$17)))*OTCost_Tech)</f>
        <v>17206.923703793291</v>
      </c>
    </row>
    <row r="194" spans="1:17" x14ac:dyDescent="0.25">
      <c r="A194" s="11">
        <v>190</v>
      </c>
      <c r="B194" s="11" t="str">
        <f t="shared" ca="1" si="24"/>
        <v>Severe</v>
      </c>
      <c r="C194" s="11">
        <f t="shared" ca="1" si="25"/>
        <v>0.8</v>
      </c>
      <c r="D194" s="11">
        <f t="shared" ca="1" si="26"/>
        <v>0</v>
      </c>
      <c r="E194" s="11">
        <f t="shared" ca="1" si="27"/>
        <v>2</v>
      </c>
      <c r="F194" s="36">
        <f t="shared" ca="1" si="28"/>
        <v>0.87599056567677724</v>
      </c>
      <c r="G194" s="11">
        <f t="shared" ca="1" si="29"/>
        <v>3.4673540782794936E-2</v>
      </c>
      <c r="H194" s="11">
        <f t="shared" ca="1" si="30"/>
        <v>9.8570177525116653E-2</v>
      </c>
      <c r="I194" s="11">
        <f t="shared" ca="1" si="31"/>
        <v>4.5700933933892955E-2</v>
      </c>
      <c r="J194" s="11">
        <f t="shared" ca="1" si="32"/>
        <v>78</v>
      </c>
      <c r="K194" s="11">
        <f t="shared" ca="1" si="33"/>
        <v>139</v>
      </c>
      <c r="L194" s="11">
        <f t="shared" ca="1" si="34"/>
        <v>78</v>
      </c>
      <c r="M194" s="11">
        <f ca="1">MAX(MAX(0,($J194*(1+0.5*Acuity_M))-(Model!$G$24*(1+OTCapPct)*(Cap_Doc*$C194*(1-$G194)))),MAX(0,($J194)-(Model!$G$6*(1+OTCapPct)*(Cap_Nurse*$C194*(1-$H194)))),MAX(0,($J194)-(Model!$G$15*(1+OTCapPct)*(Cap_Tech*$C194*(1-$I194)))),MAX(0,$J194-((BedsCurrent+BedsAdded)*ShiftHours*$F194/BedHr_M)),MAX(0,$J194*Acuity_M-(ImgBase+ImgExpOn*ImgExpAdd)),MAX(0,$J194-(LabBase+LabExpOn*LabExpAdd)))</f>
        <v>2.2798949121097962</v>
      </c>
      <c r="N194" s="11">
        <f ca="1">MAX(MAX(0,($K194*(1+0.5*Acuity_E))-(Model!$G$25*(1+OTCapPct)*(Cap_Doc*$C194*(1-$G194)))),MAX(0,($K194)-(Model!$G$7*(1+OTCapPct)*(Cap_Nurse*$C194*(1-$H194)))),MAX(0,($K194)-(Model!$G$16*(1+OTCapPct)*(Cap_Tech*$C194*(1-$I194)))),MAX(0,$K194-((BedsCurrent+BedsAdded)*ShiftHours*$F194/BedHr_E)),MAX(0,$K194*Acuity_E-(ImgBase+ImgExpOn*ImgExpAdd)),MAX(0,$K194-(LabBase+LabExpOn*LabExpAdd)))</f>
        <v>44</v>
      </c>
      <c r="O194" s="11">
        <f ca="1">MAX(MAX(0,($L194*(1+0.5*Acuity_N))-(Model!$G$26*(1+OTCapPct)*(Cap_Doc*$C194*(1-$G194)))),MAX(0,($L194)-(Model!$G$8*(1+OTCapPct)*(Cap_Nurse*$C194*(1-$H194)))),MAX(0,($L194)-(Model!$G$17*(1+OTCapPct)*(Cap_Tech*$C194*(1-$I194)))),MAX(0,$L194-((BedsCurrent+BedsAdded)*ShiftHours*$F194/BedHr_N)),MAX(0,$L194*Acuity_N-(ImgBase+ImgExpOn*ImgExpAdd)),MAX(0,$L194-(LabBase+LabExpOn*LabExpAdd)))</f>
        <v>20.196494936361219</v>
      </c>
      <c r="P194" s="11">
        <f t="shared" ca="1" si="35"/>
        <v>66.476389848471015</v>
      </c>
      <c r="Q194" s="17">
        <f ca="1">((MIN(OTCapPct*Model!$G$24,MAX(0,(($J194*(1+0.5*Acuity_M))/(Cap_Doc*$C194*(1-$G194)))-Model!$G$24)))*OTCost_Doc)+((MIN(OTCapPct*Model!$G$6,MAX(0,(($J194)/(Cap_Nurse*$C194*(1-$H194)))-Model!$G$6)))*OTCost_Nurse)+((MIN(OTCapPct*Model!$G$15,MAX(0,(($J194)/(Cap_Tech*$C194*(1-$I194)))-Model!$G$15)))*OTCost_Tech)+((MIN(OTCapPct*Model!$G$25,MAX(0,(($K194*(1+0.5*Acuity_E))/(Cap_Doc*$C194*(1-$G194)))-Model!$G$25)))*OTCost_Doc)+((MIN(OTCapPct*Model!$G$7,MAX(0,(($K194)/(Cap_Nurse*$C194*(1-$H194)))-Model!$G$7)))*OTCost_Nurse)+((MIN(OTCapPct*Model!$G$16,MAX(0,(($K194)/(Cap_Tech*$C194*(1-$I194)))-Model!$G$16)))*OTCost_Tech)+((MIN(OTCapPct*Model!$G$26,MAX(0,(($L194*(1+0.5*Acuity_N))/(Cap_Doc*$C194*(1-$G194)))-Model!$G$26)))*OTCost_Doc)+((MIN(OTCapPct*Model!$G$8,MAX(0,(($L194)/(Cap_Nurse*$C194*(1-$H194)))-Model!$G$8)))*OTCost_Nurse)+((MIN(OTCapPct*Model!$G$17,MAX(0,(($L194)/(Cap_Tech*$C194*(1-$I194)))-Model!$G$17)))*OTCost_Tech)</f>
        <v>100140.65835499855</v>
      </c>
    </row>
    <row r="195" spans="1:17" x14ac:dyDescent="0.25">
      <c r="A195" s="11">
        <v>191</v>
      </c>
      <c r="B195" s="11" t="str">
        <f t="shared" ca="1" si="24"/>
        <v>Severe</v>
      </c>
      <c r="C195" s="11">
        <f t="shared" ca="1" si="25"/>
        <v>0.8</v>
      </c>
      <c r="D195" s="11">
        <f t="shared" ca="1" si="26"/>
        <v>0</v>
      </c>
      <c r="E195" s="11">
        <f t="shared" ca="1" si="27"/>
        <v>1</v>
      </c>
      <c r="F195" s="36">
        <f t="shared" ca="1" si="28"/>
        <v>0.97465364498808782</v>
      </c>
      <c r="G195" s="11">
        <f t="shared" ca="1" si="29"/>
        <v>6.8234740601253688E-2</v>
      </c>
      <c r="H195" s="11">
        <f t="shared" ca="1" si="30"/>
        <v>8.1545448077006616E-2</v>
      </c>
      <c r="I195" s="11">
        <f t="shared" ca="1" si="31"/>
        <v>0.13865405033259121</v>
      </c>
      <c r="J195" s="11">
        <f t="shared" ca="1" si="32"/>
        <v>85</v>
      </c>
      <c r="K195" s="11">
        <f t="shared" ca="1" si="33"/>
        <v>155</v>
      </c>
      <c r="L195" s="11">
        <f t="shared" ca="1" si="34"/>
        <v>62</v>
      </c>
      <c r="M195" s="11">
        <f ca="1">MAX(MAX(0,($J195*(1+0.5*Acuity_M))-(Model!$G$24*(1+OTCapPct)*(Cap_Doc*$C195*(1-$G195)))),MAX(0,($J195)-(Model!$G$6*(1+OTCapPct)*(Cap_Nurse*$C195*(1-$H195)))),MAX(0,($J195)-(Model!$G$15*(1+OTCapPct)*(Cap_Tech*$C195*(1-$I195)))),MAX(0,$J195-((BedsCurrent+BedsAdded)*ShiftHours*$F195/BedHr_M)),MAX(0,$J195*Acuity_M-(ImgBase+ImgExpOn*ImgExpAdd)),MAX(0,$J195-(LabBase+LabExpOn*LabExpAdd)))</f>
        <v>10.491126654112833</v>
      </c>
      <c r="N195" s="11">
        <f ca="1">MAX(MAX(0,($K195*(1+0.5*Acuity_E))-(Model!$G$25*(1+OTCapPct)*(Cap_Doc*$C195*(1-$G195)))),MAX(0,($K195)-(Model!$G$7*(1+OTCapPct)*(Cap_Nurse*$C195*(1-$H195)))),MAX(0,($K195)-(Model!$G$16*(1+OTCapPct)*(Cap_Tech*$C195*(1-$I195)))),MAX(0,$K195-((BedsCurrent+BedsAdded)*ShiftHours*$F195/BedHr_E)),MAX(0,$K195*Acuity_E-(ImgBase+ImgExpOn*ImgExpAdd)),MAX(0,$K195-(LabBase+LabExpOn*LabExpAdd)))</f>
        <v>60</v>
      </c>
      <c r="O195" s="11">
        <f ca="1">MAX(MAX(0,($L195*(1+0.5*Acuity_N))-(Model!$G$26*(1+OTCapPct)*(Cap_Doc*$C195*(1-$G195)))),MAX(0,($L195)-(Model!$G$8*(1+OTCapPct)*(Cap_Nurse*$C195*(1-$H195)))),MAX(0,($L195)-(Model!$G$17*(1+OTCapPct)*(Cap_Tech*$C195*(1-$I195)))),MAX(0,$L195-((BedsCurrent+BedsAdded)*ShiftHours*$F195/BedHr_N)),MAX(0,$L195*Acuity_N-(ImgBase+ImgExpOn*ImgExpAdd)),MAX(0,$L195-(LabBase+LabExpOn*LabExpAdd)))</f>
        <v>4.2129013232902537</v>
      </c>
      <c r="P195" s="11">
        <f t="shared" ca="1" si="35"/>
        <v>74.704027977403086</v>
      </c>
      <c r="Q195" s="17">
        <f ca="1">((MIN(OTCapPct*Model!$G$24,MAX(0,(($J195*(1+0.5*Acuity_M))/(Cap_Doc*$C195*(1-$G195)))-Model!$G$24)))*OTCost_Doc)+((MIN(OTCapPct*Model!$G$6,MAX(0,(($J195)/(Cap_Nurse*$C195*(1-$H195)))-Model!$G$6)))*OTCost_Nurse)+((MIN(OTCapPct*Model!$G$15,MAX(0,(($J195)/(Cap_Tech*$C195*(1-$I195)))-Model!$G$15)))*OTCost_Tech)+((MIN(OTCapPct*Model!$G$25,MAX(0,(($K195*(1+0.5*Acuity_E))/(Cap_Doc*$C195*(1-$G195)))-Model!$G$25)))*OTCost_Doc)+((MIN(OTCapPct*Model!$G$7,MAX(0,(($K195)/(Cap_Nurse*$C195*(1-$H195)))-Model!$G$7)))*OTCost_Nurse)+((MIN(OTCapPct*Model!$G$16,MAX(0,(($K195)/(Cap_Tech*$C195*(1-$I195)))-Model!$G$16)))*OTCost_Tech)+((MIN(OTCapPct*Model!$G$26,MAX(0,(($L195*(1+0.5*Acuity_N))/(Cap_Doc*$C195*(1-$G195)))-Model!$G$26)))*OTCost_Doc)+((MIN(OTCapPct*Model!$G$8,MAX(0,(($L195)/(Cap_Nurse*$C195*(1-$H195)))-Model!$G$8)))*OTCost_Nurse)+((MIN(OTCapPct*Model!$G$17,MAX(0,(($L195)/(Cap_Tech*$C195*(1-$I195)))-Model!$G$17)))*OTCost_Tech)</f>
        <v>97081.308035355396</v>
      </c>
    </row>
    <row r="196" spans="1:17" x14ac:dyDescent="0.25">
      <c r="A196" s="11">
        <v>192</v>
      </c>
      <c r="B196" s="11" t="str">
        <f t="shared" ca="1" si="24"/>
        <v>Normal</v>
      </c>
      <c r="C196" s="11">
        <f t="shared" ca="1" si="25"/>
        <v>1</v>
      </c>
      <c r="D196" s="11">
        <f t="shared" ca="1" si="26"/>
        <v>0</v>
      </c>
      <c r="E196" s="11">
        <f t="shared" ca="1" si="27"/>
        <v>2</v>
      </c>
      <c r="F196" s="36">
        <f t="shared" ca="1" si="28"/>
        <v>1.1710829413413424</v>
      </c>
      <c r="G196" s="11">
        <f t="shared" ca="1" si="29"/>
        <v>2.6898667532529522E-3</v>
      </c>
      <c r="H196" s="11">
        <f t="shared" ca="1" si="30"/>
        <v>7.2988105675989776E-2</v>
      </c>
      <c r="I196" s="11">
        <f t="shared" ca="1" si="31"/>
        <v>0</v>
      </c>
      <c r="J196" s="11">
        <f t="shared" ca="1" si="32"/>
        <v>72</v>
      </c>
      <c r="K196" s="11">
        <f t="shared" ca="1" si="33"/>
        <v>106</v>
      </c>
      <c r="L196" s="11">
        <f t="shared" ca="1" si="34"/>
        <v>50</v>
      </c>
      <c r="M196" s="11">
        <f ca="1">MAX(MAX(0,($J196*(1+0.5*Acuity_M))-(Model!$G$24*(1+OTCapPct)*(Cap_Doc*$C196*(1-$G196)))),MAX(0,($J196)-(Model!$G$6*(1+OTCapPct)*(Cap_Nurse*$C196*(1-$H196)))),MAX(0,($J196)-(Model!$G$15*(1+OTCapPct)*(Cap_Tech*$C196*(1-$I196)))),MAX(0,$J196-((BedsCurrent+BedsAdded)*ShiftHours*$F196/BedHr_M)),MAX(0,$J196*Acuity_M-(ImgBase+ImgExpOn*ImgExpAdd)),MAX(0,$J196-(LabBase+LabExpOn*LabExpAdd)))</f>
        <v>0</v>
      </c>
      <c r="N196" s="11">
        <f ca="1">MAX(MAX(0,($K196*(1+0.5*Acuity_E))-(Model!$G$25*(1+OTCapPct)*(Cap_Doc*$C196*(1-$G196)))),MAX(0,($K196)-(Model!$G$7*(1+OTCapPct)*(Cap_Nurse*$C196*(1-$H196)))),MAX(0,($K196)-(Model!$G$16*(1+OTCapPct)*(Cap_Tech*$C196*(1-$I196)))),MAX(0,$K196-((BedsCurrent+BedsAdded)*ShiftHours*$F196/BedHr_E)),MAX(0,$K196*Acuity_E-(ImgBase+ImgExpOn*ImgExpAdd)),MAX(0,$K196-(LabBase+LabExpOn*LabExpAdd)))</f>
        <v>11</v>
      </c>
      <c r="O196" s="11">
        <f ca="1">MAX(MAX(0,($L196*(1+0.5*Acuity_N))-(Model!$G$26*(1+OTCapPct)*(Cap_Doc*$C196*(1-$G196)))),MAX(0,($L196)-(Model!$G$8*(1+OTCapPct)*(Cap_Nurse*$C196*(1-$H196)))),MAX(0,($L196)-(Model!$G$17*(1+OTCapPct)*(Cap_Tech*$C196*(1-$I196)))),MAX(0,$L196-((BedsCurrent+BedsAdded)*ShiftHours*$F196/BedHr_N)),MAX(0,$L196*Acuity_N-(ImgBase+ImgExpOn*ImgExpAdd)),MAX(0,$L196-(LabBase+LabExpOn*LabExpAdd)))</f>
        <v>0</v>
      </c>
      <c r="P196" s="11">
        <f t="shared" ca="1" si="35"/>
        <v>11</v>
      </c>
      <c r="Q196" s="17">
        <f ca="1">((MIN(OTCapPct*Model!$G$24,MAX(0,(($J196*(1+0.5*Acuity_M))/(Cap_Doc*$C196*(1-$G196)))-Model!$G$24)))*OTCost_Doc)+((MIN(OTCapPct*Model!$G$6,MAX(0,(($J196)/(Cap_Nurse*$C196*(1-$H196)))-Model!$G$6)))*OTCost_Nurse)+((MIN(OTCapPct*Model!$G$15,MAX(0,(($J196)/(Cap_Tech*$C196*(1-$I196)))-Model!$G$15)))*OTCost_Tech)+((MIN(OTCapPct*Model!$G$25,MAX(0,(($K196*(1+0.5*Acuity_E))/(Cap_Doc*$C196*(1-$G196)))-Model!$G$25)))*OTCost_Doc)+((MIN(OTCapPct*Model!$G$7,MAX(0,(($K196)/(Cap_Nurse*$C196*(1-$H196)))-Model!$G$7)))*OTCost_Nurse)+((MIN(OTCapPct*Model!$G$16,MAX(0,(($K196)/(Cap_Tech*$C196*(1-$I196)))-Model!$G$16)))*OTCost_Tech)+((MIN(OTCapPct*Model!$G$26,MAX(0,(($L196*(1+0.5*Acuity_N))/(Cap_Doc*$C196*(1-$G196)))-Model!$G$26)))*OTCost_Doc)+((MIN(OTCapPct*Model!$G$8,MAX(0,(($L196)/(Cap_Nurse*$C196*(1-$H196)))-Model!$G$8)))*OTCost_Nurse)+((MIN(OTCapPct*Model!$G$17,MAX(0,(($L196)/(Cap_Tech*$C196*(1-$I196)))-Model!$G$17)))*OTCost_Tech)</f>
        <v>0</v>
      </c>
    </row>
    <row r="197" spans="1:17" x14ac:dyDescent="0.25">
      <c r="A197" s="11">
        <v>193</v>
      </c>
      <c r="B197" s="11" t="str">
        <f t="shared" ref="B197:B260" ca="1" si="36">IF(RAND()&lt;P_Normal,"Normal",IF(RAND()&lt;P_Complex/(P_Complex+P_Severe),"Complex","Severe"))</f>
        <v>Complex</v>
      </c>
      <c r="C197" s="11">
        <f t="shared" ref="C197:C260" ca="1" si="37">IF(B197="Normal",1,IF(B197="Complex",0.9,0.8))</f>
        <v>0.9</v>
      </c>
      <c r="D197" s="11">
        <f t="shared" ref="D197:D260" ca="1" si="38">IF(RAND()&lt;P_Incident,1,0)</f>
        <v>0</v>
      </c>
      <c r="E197" s="11">
        <f t="shared" ref="E197:E260" ca="1" si="39">RANDBETWEEN(1,3)</f>
        <v>1</v>
      </c>
      <c r="F197" s="36">
        <f t="shared" ref="F197:F260" ca="1" si="40">1-BedHrVariability+RAND()*2*BedHrVariability</f>
        <v>0.95344706207572427</v>
      </c>
      <c r="G197" s="11">
        <f t="shared" ref="G197:G260" ca="1" si="41">MIN(0.5,MAX(0,NORMINV(RAND(),BaseAbsence_Doc,SQRT(BaseAbsence_Doc*(1-BaseAbsence_Doc)/Avail_Doc))))</f>
        <v>3.8406272821962885E-2</v>
      </c>
      <c r="H197" s="11">
        <f t="shared" ref="H197:H260" ca="1" si="42">MIN(0.5,MAX(0,NORMINV(RAND(),BaseAbsence_Nurse,SQRT(BaseAbsence_Nurse*(1-BaseAbsence_Nurse)/Avail_Nurse))))</f>
        <v>1.6480203361200367E-2</v>
      </c>
      <c r="I197" s="11">
        <f t="shared" ref="I197:I260" ca="1" si="43">MIN(0.5,MAX(0,NORMINV(RAND(),BaseAbsence_Tech,SQRT(BaseAbsence_Tech*(1-BaseAbsence_Tech)/Avail_Tech))))</f>
        <v>8.6332406525130093E-2</v>
      </c>
      <c r="J197" s="11">
        <f t="shared" ref="J197:J260" ca="1" si="44">MAX(0,ROUND(NORMINV(RAND(),Arr_M,SD_M)*IF(AND($D197=1,$E197=1),1+IncidentSeverity,1),0))</f>
        <v>68</v>
      </c>
      <c r="K197" s="11">
        <f t="shared" ref="K197:K260" ca="1" si="45">MAX(0,ROUND(NORMINV(RAND(),Arr_E,SD_E)*IF(AND($D197=1,$E197=2),1+IncidentSeverity,1),0))</f>
        <v>161</v>
      </c>
      <c r="L197" s="11">
        <f t="shared" ref="L197:L260" ca="1" si="46">MAX(0,ROUND(NORMINV(RAND(),Arr_N,SD_N)*IF(AND($D197=1,$E197=3),1+IncidentSeverity,1),0))</f>
        <v>69</v>
      </c>
      <c r="M197" s="11">
        <f ca="1">MAX(MAX(0,($J197*(1+0.5*Acuity_M))-(Model!$G$24*(1+OTCapPct)*(Cap_Doc*$C197*(1-$G197)))),MAX(0,($J197)-(Model!$G$6*(1+OTCapPct)*(Cap_Nurse*$C197*(1-$H197)))),MAX(0,($J197)-(Model!$G$15*(1+OTCapPct)*(Cap_Tech*$C197*(1-$I197)))),MAX(0,$J197-((BedsCurrent+BedsAdded)*ShiftHours*$F197/BedHr_M)),MAX(0,$J197*Acuity_M-(ImgBase+ImgExpOn*ImgExpAdd)),MAX(0,$J197-(LabBase+LabExpOn*LabExpAdd)))</f>
        <v>0</v>
      </c>
      <c r="N197" s="11">
        <f ca="1">MAX(MAX(0,($K197*(1+0.5*Acuity_E))-(Model!$G$25*(1+OTCapPct)*(Cap_Doc*$C197*(1-$G197)))),MAX(0,($K197)-(Model!$G$7*(1+OTCapPct)*(Cap_Nurse*$C197*(1-$H197)))),MAX(0,($K197)-(Model!$G$16*(1+OTCapPct)*(Cap_Tech*$C197*(1-$I197)))),MAX(0,$K197-((BedsCurrent+BedsAdded)*ShiftHours*$F197/BedHr_E)),MAX(0,$K197*Acuity_E-(ImgBase+ImgExpOn*ImgExpAdd)),MAX(0,$K197-(LabBase+LabExpOn*LabExpAdd)))</f>
        <v>66</v>
      </c>
      <c r="O197" s="11">
        <f ca="1">MAX(MAX(0,($L197*(1+0.5*Acuity_N))-(Model!$G$26*(1+OTCapPct)*(Cap_Doc*$C197*(1-$G197)))),MAX(0,($L197)-(Model!$G$8*(1+OTCapPct)*(Cap_Nurse*$C197*(1-$H197)))),MAX(0,($L197)-(Model!$G$17*(1+OTCapPct)*(Cap_Tech*$C197*(1-$I197)))),MAX(0,$L197-((BedsCurrent+BedsAdded)*ShiftHours*$F197/BedHr_N)),MAX(0,$L197*Acuity_N-(ImgBase+ImgExpOn*ImgExpAdd)),MAX(0,$L197-(LabBase+LabExpOn*LabExpAdd)))</f>
        <v>1.4609080985789831</v>
      </c>
      <c r="P197" s="11">
        <f t="shared" ref="P197:P260" ca="1" si="47">M197+N197+O197</f>
        <v>67.460908098578983</v>
      </c>
      <c r="Q197" s="17">
        <f ca="1">((MIN(OTCapPct*Model!$G$24,MAX(0,(($J197*(1+0.5*Acuity_M))/(Cap_Doc*$C197*(1-$G197)))-Model!$G$24)))*OTCost_Doc)+((MIN(OTCapPct*Model!$G$6,MAX(0,(($J197)/(Cap_Nurse*$C197*(1-$H197)))-Model!$G$6)))*OTCost_Nurse)+((MIN(OTCapPct*Model!$G$15,MAX(0,(($J197)/(Cap_Tech*$C197*(1-$I197)))-Model!$G$15)))*OTCost_Tech)+((MIN(OTCapPct*Model!$G$25,MAX(0,(($K197*(1+0.5*Acuity_E))/(Cap_Doc*$C197*(1-$G197)))-Model!$G$25)))*OTCost_Doc)+((MIN(OTCapPct*Model!$G$7,MAX(0,(($K197)/(Cap_Nurse*$C197*(1-$H197)))-Model!$G$7)))*OTCost_Nurse)+((MIN(OTCapPct*Model!$G$16,MAX(0,(($K197)/(Cap_Tech*$C197*(1-$I197)))-Model!$G$16)))*OTCost_Tech)+((MIN(OTCapPct*Model!$G$26,MAX(0,(($L197*(1+0.5*Acuity_N))/(Cap_Doc*$C197*(1-$G197)))-Model!$G$26)))*OTCost_Doc)+((MIN(OTCapPct*Model!$G$8,MAX(0,(($L197)/(Cap_Nurse*$C197*(1-$H197)))-Model!$G$8)))*OTCost_Nurse)+((MIN(OTCapPct*Model!$G$17,MAX(0,(($L197)/(Cap_Tech*$C197*(1-$I197)))-Model!$G$17)))*OTCost_Tech)</f>
        <v>61598.631816766538</v>
      </c>
    </row>
    <row r="198" spans="1:17" x14ac:dyDescent="0.25">
      <c r="A198" s="11">
        <v>194</v>
      </c>
      <c r="B198" s="11" t="str">
        <f t="shared" ca="1" si="36"/>
        <v>Normal</v>
      </c>
      <c r="C198" s="11">
        <f t="shared" ca="1" si="37"/>
        <v>1</v>
      </c>
      <c r="D198" s="11">
        <f t="shared" ca="1" si="38"/>
        <v>0</v>
      </c>
      <c r="E198" s="11">
        <f t="shared" ca="1" si="39"/>
        <v>3</v>
      </c>
      <c r="F198" s="36">
        <f t="shared" ca="1" si="40"/>
        <v>0.87550634348526069</v>
      </c>
      <c r="G198" s="11">
        <f t="shared" ca="1" si="41"/>
        <v>6.942308796795027E-3</v>
      </c>
      <c r="H198" s="11">
        <f t="shared" ca="1" si="42"/>
        <v>0</v>
      </c>
      <c r="I198" s="11">
        <f t="shared" ca="1" si="43"/>
        <v>9.4146177581453661E-2</v>
      </c>
      <c r="J198" s="11">
        <f t="shared" ca="1" si="44"/>
        <v>80</v>
      </c>
      <c r="K198" s="11">
        <f t="shared" ca="1" si="45"/>
        <v>121</v>
      </c>
      <c r="L198" s="11">
        <f t="shared" ca="1" si="46"/>
        <v>66</v>
      </c>
      <c r="M198" s="11">
        <f ca="1">MAX(MAX(0,($J198*(1+0.5*Acuity_M))-(Model!$G$24*(1+OTCapPct)*(Cap_Doc*$C198*(1-$G198)))),MAX(0,($J198)-(Model!$G$6*(1+OTCapPct)*(Cap_Nurse*$C198*(1-$H198)))),MAX(0,($J198)-(Model!$G$15*(1+OTCapPct)*(Cap_Tech*$C198*(1-$I198)))),MAX(0,$J198-((BedsCurrent+BedsAdded)*ShiftHours*$F198/BedHr_M)),MAX(0,$J198*Acuity_M-(ImgBase+ImgExpOn*ImgExpAdd)),MAX(0,$J198-(LabBase+LabExpOn*LabExpAdd)))</f>
        <v>0</v>
      </c>
      <c r="N198" s="11">
        <f ca="1">MAX(MAX(0,($K198*(1+0.5*Acuity_E))-(Model!$G$25*(1+OTCapPct)*(Cap_Doc*$C198*(1-$G198)))),MAX(0,($K198)-(Model!$G$7*(1+OTCapPct)*(Cap_Nurse*$C198*(1-$H198)))),MAX(0,($K198)-(Model!$G$16*(1+OTCapPct)*(Cap_Tech*$C198*(1-$I198)))),MAX(0,$K198-((BedsCurrent+BedsAdded)*ShiftHours*$F198/BedHr_E)),MAX(0,$K198*Acuity_E-(ImgBase+ImgExpOn*ImgExpAdd)),MAX(0,$K198-(LabBase+LabExpOn*LabExpAdd)))</f>
        <v>26</v>
      </c>
      <c r="O198" s="11">
        <f ca="1">MAX(MAX(0,($L198*(1+0.5*Acuity_N))-(Model!$G$26*(1+OTCapPct)*(Cap_Doc*$C198*(1-$G198)))),MAX(0,($L198)-(Model!$G$8*(1+OTCapPct)*(Cap_Nurse*$C198*(1-$H198)))),MAX(0,($L198)-(Model!$G$17*(1+OTCapPct)*(Cap_Tech*$C198*(1-$I198)))),MAX(0,$L198-((BedsCurrent+BedsAdded)*ShiftHours*$F198/BedHr_N)),MAX(0,$L198*Acuity_N-(ImgBase+ImgExpOn*ImgExpAdd)),MAX(0,$L198-(LabBase+LabExpOn*LabExpAdd)))</f>
        <v>0</v>
      </c>
      <c r="P198" s="11">
        <f t="shared" ca="1" si="47"/>
        <v>26</v>
      </c>
      <c r="Q198" s="17">
        <f ca="1">((MIN(OTCapPct*Model!$G$24,MAX(0,(($J198*(1+0.5*Acuity_M))/(Cap_Doc*$C198*(1-$G198)))-Model!$G$24)))*OTCost_Doc)+((MIN(OTCapPct*Model!$G$6,MAX(0,(($J198)/(Cap_Nurse*$C198*(1-$H198)))-Model!$G$6)))*OTCost_Nurse)+((MIN(OTCapPct*Model!$G$15,MAX(0,(($J198)/(Cap_Tech*$C198*(1-$I198)))-Model!$G$15)))*OTCost_Tech)+((MIN(OTCapPct*Model!$G$25,MAX(0,(($K198*(1+0.5*Acuity_E))/(Cap_Doc*$C198*(1-$G198)))-Model!$G$25)))*OTCost_Doc)+((MIN(OTCapPct*Model!$G$7,MAX(0,(($K198)/(Cap_Nurse*$C198*(1-$H198)))-Model!$G$7)))*OTCost_Nurse)+((MIN(OTCapPct*Model!$G$16,MAX(0,(($K198)/(Cap_Tech*$C198*(1-$I198)))-Model!$G$16)))*OTCost_Tech)+((MIN(OTCapPct*Model!$G$26,MAX(0,(($L198*(1+0.5*Acuity_N))/(Cap_Doc*$C198*(1-$G198)))-Model!$G$26)))*OTCost_Doc)+((MIN(OTCapPct*Model!$G$8,MAX(0,(($L198)/(Cap_Nurse*$C198*(1-$H198)))-Model!$G$8)))*OTCost_Nurse)+((MIN(OTCapPct*Model!$G$17,MAX(0,(($L198)/(Cap_Tech*$C198*(1-$I198)))-Model!$G$17)))*OTCost_Tech)</f>
        <v>15805.463723339328</v>
      </c>
    </row>
    <row r="199" spans="1:17" x14ac:dyDescent="0.25">
      <c r="A199" s="11">
        <v>195</v>
      </c>
      <c r="B199" s="11" t="str">
        <f t="shared" ca="1" si="36"/>
        <v>Complex</v>
      </c>
      <c r="C199" s="11">
        <f t="shared" ca="1" si="37"/>
        <v>0.9</v>
      </c>
      <c r="D199" s="11">
        <f t="shared" ca="1" si="38"/>
        <v>1</v>
      </c>
      <c r="E199" s="11">
        <f t="shared" ca="1" si="39"/>
        <v>1</v>
      </c>
      <c r="F199" s="36">
        <f t="shared" ca="1" si="40"/>
        <v>1.0535962534309442</v>
      </c>
      <c r="G199" s="11">
        <f t="shared" ca="1" si="41"/>
        <v>4.5122598625626051E-2</v>
      </c>
      <c r="H199" s="11">
        <f t="shared" ca="1" si="42"/>
        <v>2.8323408112357992E-2</v>
      </c>
      <c r="I199" s="11">
        <f t="shared" ca="1" si="43"/>
        <v>2.9975591617213589E-2</v>
      </c>
      <c r="J199" s="11">
        <f t="shared" ca="1" si="44"/>
        <v>137</v>
      </c>
      <c r="K199" s="11">
        <f t="shared" ca="1" si="45"/>
        <v>91</v>
      </c>
      <c r="L199" s="11">
        <f t="shared" ca="1" si="46"/>
        <v>66</v>
      </c>
      <c r="M199" s="11">
        <f ca="1">MAX(MAX(0,($J199*(1+0.5*Acuity_M))-(Model!$G$24*(1+OTCapPct)*(Cap_Doc*$C199*(1-$G199)))),MAX(0,($J199)-(Model!$G$6*(1+OTCapPct)*(Cap_Nurse*$C199*(1-$H199)))),MAX(0,($J199)-(Model!$G$15*(1+OTCapPct)*(Cap_Tech*$C199*(1-$I199)))),MAX(0,$J199-((BedsCurrent+BedsAdded)*ShiftHours*$F199/BedHr_M)),MAX(0,$J199*Acuity_M-(ImgBase+ImgExpOn*ImgExpAdd)),MAX(0,$J199-(LabBase+LabExpOn*LabExpAdd)))</f>
        <v>55.388663110844661</v>
      </c>
      <c r="N199" s="11">
        <f ca="1">MAX(MAX(0,($K199*(1+0.5*Acuity_E))-(Model!$G$25*(1+OTCapPct)*(Cap_Doc*$C199*(1-$G199)))),MAX(0,($K199)-(Model!$G$7*(1+OTCapPct)*(Cap_Nurse*$C199*(1-$H199)))),MAX(0,($K199)-(Model!$G$16*(1+OTCapPct)*(Cap_Tech*$C199*(1-$I199)))),MAX(0,$K199-((BedsCurrent+BedsAdded)*ShiftHours*$F199/BedHr_E)),MAX(0,$K199*Acuity_E-(ImgBase+ImgExpOn*ImgExpAdd)),MAX(0,$K199-(LabBase+LabExpOn*LabExpAdd)))</f>
        <v>0</v>
      </c>
      <c r="O199" s="11">
        <f ca="1">MAX(MAX(0,($L199*(1+0.5*Acuity_N))-(Model!$G$26*(1+OTCapPct)*(Cap_Doc*$C199*(1-$G199)))),MAX(0,($L199)-(Model!$G$8*(1+OTCapPct)*(Cap_Nurse*$C199*(1-$H199)))),MAX(0,($L199)-(Model!$G$17*(1+OTCapPct)*(Cap_Tech*$C199*(1-$I199)))),MAX(0,$L199-((BedsCurrent+BedsAdded)*ShiftHours*$F199/BedHr_N)),MAX(0,$L199*Acuity_N-(ImgBase+ImgExpOn*ImgExpAdd)),MAX(0,$L199-(LabBase+LabExpOn*LabExpAdd)))</f>
        <v>0</v>
      </c>
      <c r="P199" s="11">
        <f t="shared" ca="1" si="47"/>
        <v>55.388663110844661</v>
      </c>
      <c r="Q199" s="17">
        <f ca="1">((MIN(OTCapPct*Model!$G$24,MAX(0,(($J199*(1+0.5*Acuity_M))/(Cap_Doc*$C199*(1-$G199)))-Model!$G$24)))*OTCost_Doc)+((MIN(OTCapPct*Model!$G$6,MAX(0,(($J199)/(Cap_Nurse*$C199*(1-$H199)))-Model!$G$6)))*OTCost_Nurse)+((MIN(OTCapPct*Model!$G$15,MAX(0,(($J199)/(Cap_Tech*$C199*(1-$I199)))-Model!$G$15)))*OTCost_Tech)+((MIN(OTCapPct*Model!$G$25,MAX(0,(($K199*(1+0.5*Acuity_E))/(Cap_Doc*$C199*(1-$G199)))-Model!$G$25)))*OTCost_Doc)+((MIN(OTCapPct*Model!$G$7,MAX(0,(($K199)/(Cap_Nurse*$C199*(1-$H199)))-Model!$G$7)))*OTCost_Nurse)+((MIN(OTCapPct*Model!$G$16,MAX(0,(($K199)/(Cap_Tech*$C199*(1-$I199)))-Model!$G$16)))*OTCost_Tech)+((MIN(OTCapPct*Model!$G$26,MAX(0,(($L199*(1+0.5*Acuity_N))/(Cap_Doc*$C199*(1-$G199)))-Model!$G$26)))*OTCost_Doc)+((MIN(OTCapPct*Model!$G$8,MAX(0,(($L199)/(Cap_Nurse*$C199*(1-$H199)))-Model!$G$8)))*OTCost_Nurse)+((MIN(OTCapPct*Model!$G$17,MAX(0,(($L199)/(Cap_Tech*$C199*(1-$I199)))-Model!$G$17)))*OTCost_Tech)</f>
        <v>46118.955511273394</v>
      </c>
    </row>
    <row r="200" spans="1:17" x14ac:dyDescent="0.25">
      <c r="A200" s="11">
        <v>196</v>
      </c>
      <c r="B200" s="11" t="str">
        <f t="shared" ca="1" si="36"/>
        <v>Normal</v>
      </c>
      <c r="C200" s="11">
        <f t="shared" ca="1" si="37"/>
        <v>1</v>
      </c>
      <c r="D200" s="11">
        <f t="shared" ca="1" si="38"/>
        <v>0</v>
      </c>
      <c r="E200" s="11">
        <f t="shared" ca="1" si="39"/>
        <v>3</v>
      </c>
      <c r="F200" s="36">
        <f t="shared" ca="1" si="40"/>
        <v>0.91755254383939622</v>
      </c>
      <c r="G200" s="11">
        <f t="shared" ca="1" si="41"/>
        <v>1.9916498588124033E-2</v>
      </c>
      <c r="H200" s="11">
        <f t="shared" ca="1" si="42"/>
        <v>6.1770073629450473E-2</v>
      </c>
      <c r="I200" s="11">
        <f t="shared" ca="1" si="43"/>
        <v>0</v>
      </c>
      <c r="J200" s="11">
        <f t="shared" ca="1" si="44"/>
        <v>65</v>
      </c>
      <c r="K200" s="11">
        <f t="shared" ca="1" si="45"/>
        <v>110</v>
      </c>
      <c r="L200" s="11">
        <f t="shared" ca="1" si="46"/>
        <v>74</v>
      </c>
      <c r="M200" s="11">
        <f ca="1">MAX(MAX(0,($J200*(1+0.5*Acuity_M))-(Model!$G$24*(1+OTCapPct)*(Cap_Doc*$C200*(1-$G200)))),MAX(0,($J200)-(Model!$G$6*(1+OTCapPct)*(Cap_Nurse*$C200*(1-$H200)))),MAX(0,($J200)-(Model!$G$15*(1+OTCapPct)*(Cap_Tech*$C200*(1-$I200)))),MAX(0,$J200-((BedsCurrent+BedsAdded)*ShiftHours*$F200/BedHr_M)),MAX(0,$J200*Acuity_M-(ImgBase+ImgExpOn*ImgExpAdd)),MAX(0,$J200-(LabBase+LabExpOn*LabExpAdd)))</f>
        <v>0</v>
      </c>
      <c r="N200" s="11">
        <f ca="1">MAX(MAX(0,($K200*(1+0.5*Acuity_E))-(Model!$G$25*(1+OTCapPct)*(Cap_Doc*$C200*(1-$G200)))),MAX(0,($K200)-(Model!$G$7*(1+OTCapPct)*(Cap_Nurse*$C200*(1-$H200)))),MAX(0,($K200)-(Model!$G$16*(1+OTCapPct)*(Cap_Tech*$C200*(1-$I200)))),MAX(0,$K200-((BedsCurrent+BedsAdded)*ShiftHours*$F200/BedHr_E)),MAX(0,$K200*Acuity_E-(ImgBase+ImgExpOn*ImgExpAdd)),MAX(0,$K200-(LabBase+LabExpOn*LabExpAdd)))</f>
        <v>15</v>
      </c>
      <c r="O200" s="11">
        <f ca="1">MAX(MAX(0,($L200*(1+0.5*Acuity_N))-(Model!$G$26*(1+OTCapPct)*(Cap_Doc*$C200*(1-$G200)))),MAX(0,($L200)-(Model!$G$8*(1+OTCapPct)*(Cap_Nurse*$C200*(1-$H200)))),MAX(0,($L200)-(Model!$G$17*(1+OTCapPct)*(Cap_Tech*$C200*(1-$I200)))),MAX(0,$L200-((BedsCurrent+BedsAdded)*ShiftHours*$F200/BedHr_N)),MAX(0,$L200*Acuity_N-(ImgBase+ImgExpOn*ImgExpAdd)),MAX(0,$L200-(LabBase+LabExpOn*LabExpAdd)))</f>
        <v>0</v>
      </c>
      <c r="P200" s="11">
        <f t="shared" ca="1" si="47"/>
        <v>15</v>
      </c>
      <c r="Q200" s="17">
        <f ca="1">((MIN(OTCapPct*Model!$G$24,MAX(0,(($J200*(1+0.5*Acuity_M))/(Cap_Doc*$C200*(1-$G200)))-Model!$G$24)))*OTCost_Doc)+((MIN(OTCapPct*Model!$G$6,MAX(0,(($J200)/(Cap_Nurse*$C200*(1-$H200)))-Model!$G$6)))*OTCost_Nurse)+((MIN(OTCapPct*Model!$G$15,MAX(0,(($J200)/(Cap_Tech*$C200*(1-$I200)))-Model!$G$15)))*OTCost_Tech)+((MIN(OTCapPct*Model!$G$25,MAX(0,(($K200*(1+0.5*Acuity_E))/(Cap_Doc*$C200*(1-$G200)))-Model!$G$25)))*OTCost_Doc)+((MIN(OTCapPct*Model!$G$7,MAX(0,(($K200)/(Cap_Nurse*$C200*(1-$H200)))-Model!$G$7)))*OTCost_Nurse)+((MIN(OTCapPct*Model!$G$16,MAX(0,(($K200)/(Cap_Tech*$C200*(1-$I200)))-Model!$G$16)))*OTCost_Tech)+((MIN(OTCapPct*Model!$G$26,MAX(0,(($L200*(1+0.5*Acuity_N))/(Cap_Doc*$C200*(1-$G200)))-Model!$G$26)))*OTCost_Doc)+((MIN(OTCapPct*Model!$G$8,MAX(0,(($L200)/(Cap_Nurse*$C200*(1-$H200)))-Model!$G$8)))*OTCost_Nurse)+((MIN(OTCapPct*Model!$G$17,MAX(0,(($L200)/(Cap_Tech*$C200*(1-$I200)))-Model!$G$17)))*OTCost_Tech)</f>
        <v>16305.506081958516</v>
      </c>
    </row>
    <row r="201" spans="1:17" x14ac:dyDescent="0.25">
      <c r="A201" s="11">
        <v>197</v>
      </c>
      <c r="B201" s="11" t="str">
        <f t="shared" ca="1" si="36"/>
        <v>Normal</v>
      </c>
      <c r="C201" s="11">
        <f t="shared" ca="1" si="37"/>
        <v>1</v>
      </c>
      <c r="D201" s="11">
        <f t="shared" ca="1" si="38"/>
        <v>0</v>
      </c>
      <c r="E201" s="11">
        <f t="shared" ca="1" si="39"/>
        <v>2</v>
      </c>
      <c r="F201" s="36">
        <f t="shared" ca="1" si="40"/>
        <v>0.99346987310251889</v>
      </c>
      <c r="G201" s="11">
        <f t="shared" ca="1" si="41"/>
        <v>3.3325434644342039E-2</v>
      </c>
      <c r="H201" s="11">
        <f t="shared" ca="1" si="42"/>
        <v>0.12189014205772691</v>
      </c>
      <c r="I201" s="11">
        <f t="shared" ca="1" si="43"/>
        <v>0</v>
      </c>
      <c r="J201" s="11">
        <f t="shared" ca="1" si="44"/>
        <v>77</v>
      </c>
      <c r="K201" s="11">
        <f t="shared" ca="1" si="45"/>
        <v>75</v>
      </c>
      <c r="L201" s="11">
        <f t="shared" ca="1" si="46"/>
        <v>86</v>
      </c>
      <c r="M201" s="11">
        <f ca="1">MAX(MAX(0,($J201*(1+0.5*Acuity_M))-(Model!$G$24*(1+OTCapPct)*(Cap_Doc*$C201*(1-$G201)))),MAX(0,($J201)-(Model!$G$6*(1+OTCapPct)*(Cap_Nurse*$C201*(1-$H201)))),MAX(0,($J201)-(Model!$G$15*(1+OTCapPct)*(Cap_Tech*$C201*(1-$I201)))),MAX(0,$J201-((BedsCurrent+BedsAdded)*ShiftHours*$F201/BedHr_M)),MAX(0,$J201*Acuity_M-(ImgBase+ImgExpOn*ImgExpAdd)),MAX(0,$J201-(LabBase+LabExpOn*LabExpAdd)))</f>
        <v>0</v>
      </c>
      <c r="N201" s="11">
        <f ca="1">MAX(MAX(0,($K201*(1+0.5*Acuity_E))-(Model!$G$25*(1+OTCapPct)*(Cap_Doc*$C201*(1-$G201)))),MAX(0,($K201)-(Model!$G$7*(1+OTCapPct)*(Cap_Nurse*$C201*(1-$H201)))),MAX(0,($K201)-(Model!$G$16*(1+OTCapPct)*(Cap_Tech*$C201*(1-$I201)))),MAX(0,$K201-((BedsCurrent+BedsAdded)*ShiftHours*$F201/BedHr_E)),MAX(0,$K201*Acuity_E-(ImgBase+ImgExpOn*ImgExpAdd)),MAX(0,$K201-(LabBase+LabExpOn*LabExpAdd)))</f>
        <v>0</v>
      </c>
      <c r="O201" s="11">
        <f ca="1">MAX(MAX(0,($L201*(1+0.5*Acuity_N))-(Model!$G$26*(1+OTCapPct)*(Cap_Doc*$C201*(1-$G201)))),MAX(0,($L201)-(Model!$G$8*(1+OTCapPct)*(Cap_Nurse*$C201*(1-$H201)))),MAX(0,($L201)-(Model!$G$17*(1+OTCapPct)*(Cap_Tech*$C201*(1-$I201)))),MAX(0,$L201-((BedsCurrent+BedsAdded)*ShiftHours*$F201/BedHr_N)),MAX(0,$L201*Acuity_N-(ImgBase+ImgExpOn*ImgExpAdd)),MAX(0,$L201-(LabBase+LabExpOn*LabExpAdd)))</f>
        <v>11.899289117990776</v>
      </c>
      <c r="P201" s="11">
        <f t="shared" ca="1" si="47"/>
        <v>11.899289117990776</v>
      </c>
      <c r="Q201" s="17">
        <f ca="1">((MIN(OTCapPct*Model!$G$24,MAX(0,(($J201*(1+0.5*Acuity_M))/(Cap_Doc*$C201*(1-$G201)))-Model!$G$24)))*OTCost_Doc)+((MIN(OTCapPct*Model!$G$6,MAX(0,(($J201)/(Cap_Nurse*$C201*(1-$H201)))-Model!$G$6)))*OTCost_Nurse)+((MIN(OTCapPct*Model!$G$15,MAX(0,(($J201)/(Cap_Tech*$C201*(1-$I201)))-Model!$G$15)))*OTCost_Tech)+((MIN(OTCapPct*Model!$G$25,MAX(0,(($K201*(1+0.5*Acuity_E))/(Cap_Doc*$C201*(1-$G201)))-Model!$G$25)))*OTCost_Doc)+((MIN(OTCapPct*Model!$G$7,MAX(0,(($K201)/(Cap_Nurse*$C201*(1-$H201)))-Model!$G$7)))*OTCost_Nurse)+((MIN(OTCapPct*Model!$G$16,MAX(0,(($K201)/(Cap_Tech*$C201*(1-$I201)))-Model!$G$16)))*OTCost_Tech)+((MIN(OTCapPct*Model!$G$26,MAX(0,(($L201*(1+0.5*Acuity_N))/(Cap_Doc*$C201*(1-$G201)))-Model!$G$26)))*OTCost_Doc)+((MIN(OTCapPct*Model!$G$8,MAX(0,(($L201)/(Cap_Nurse*$C201*(1-$H201)))-Model!$G$8)))*OTCost_Nurse)+((MIN(OTCapPct*Model!$G$17,MAX(0,(($L201)/(Cap_Tech*$C201*(1-$I201)))-Model!$G$17)))*OTCost_Tech)</f>
        <v>25247.853436096193</v>
      </c>
    </row>
    <row r="202" spans="1:17" x14ac:dyDescent="0.25">
      <c r="A202" s="11">
        <v>198</v>
      </c>
      <c r="B202" s="11" t="str">
        <f t="shared" ca="1" si="36"/>
        <v>Normal</v>
      </c>
      <c r="C202" s="11">
        <f t="shared" ca="1" si="37"/>
        <v>1</v>
      </c>
      <c r="D202" s="11">
        <f t="shared" ca="1" si="38"/>
        <v>1</v>
      </c>
      <c r="E202" s="11">
        <f t="shared" ca="1" si="39"/>
        <v>2</v>
      </c>
      <c r="F202" s="36">
        <f t="shared" ca="1" si="40"/>
        <v>1.1487922708983498</v>
      </c>
      <c r="G202" s="11">
        <f t="shared" ca="1" si="41"/>
        <v>8.0957425658140861E-2</v>
      </c>
      <c r="H202" s="11">
        <f t="shared" ca="1" si="42"/>
        <v>0</v>
      </c>
      <c r="I202" s="11">
        <f t="shared" ca="1" si="43"/>
        <v>2.7481908305890604E-3</v>
      </c>
      <c r="J202" s="11">
        <f t="shared" ca="1" si="44"/>
        <v>63</v>
      </c>
      <c r="K202" s="11">
        <f t="shared" ca="1" si="45"/>
        <v>153</v>
      </c>
      <c r="L202" s="11">
        <f t="shared" ca="1" si="46"/>
        <v>76</v>
      </c>
      <c r="M202" s="11">
        <f ca="1">MAX(MAX(0,($J202*(1+0.5*Acuity_M))-(Model!$G$24*(1+OTCapPct)*(Cap_Doc*$C202*(1-$G202)))),MAX(0,($J202)-(Model!$G$6*(1+OTCapPct)*(Cap_Nurse*$C202*(1-$H202)))),MAX(0,($J202)-(Model!$G$15*(1+OTCapPct)*(Cap_Tech*$C202*(1-$I202)))),MAX(0,$J202-((BedsCurrent+BedsAdded)*ShiftHours*$F202/BedHr_M)),MAX(0,$J202*Acuity_M-(ImgBase+ImgExpOn*ImgExpAdd)),MAX(0,$J202-(LabBase+LabExpOn*LabExpAdd)))</f>
        <v>0</v>
      </c>
      <c r="N202" s="11">
        <f ca="1">MAX(MAX(0,($K202*(1+0.5*Acuity_E))-(Model!$G$25*(1+OTCapPct)*(Cap_Doc*$C202*(1-$G202)))),MAX(0,($K202)-(Model!$G$7*(1+OTCapPct)*(Cap_Nurse*$C202*(1-$H202)))),MAX(0,($K202)-(Model!$G$16*(1+OTCapPct)*(Cap_Tech*$C202*(1-$I202)))),MAX(0,$K202-((BedsCurrent+BedsAdded)*ShiftHours*$F202/BedHr_E)),MAX(0,$K202*Acuity_E-(ImgBase+ImgExpOn*ImgExpAdd)),MAX(0,$K202-(LabBase+LabExpOn*LabExpAdd)))</f>
        <v>58</v>
      </c>
      <c r="O202" s="11">
        <f ca="1">MAX(MAX(0,($L202*(1+0.5*Acuity_N))-(Model!$G$26*(1+OTCapPct)*(Cap_Doc*$C202*(1-$G202)))),MAX(0,($L202)-(Model!$G$8*(1+OTCapPct)*(Cap_Nurse*$C202*(1-$H202)))),MAX(0,($L202)-(Model!$G$17*(1+OTCapPct)*(Cap_Tech*$C202*(1-$I202)))),MAX(0,$L202-((BedsCurrent+BedsAdded)*ShiftHours*$F202/BedHr_N)),MAX(0,$L202*Acuity_N-(ImgBase+ImgExpOn*ImgExpAdd)),MAX(0,$L202-(LabBase+LabExpOn*LabExpAdd)))</f>
        <v>4.6861683092326842</v>
      </c>
      <c r="P202" s="11">
        <f t="shared" ca="1" si="47"/>
        <v>62.686168309232684</v>
      </c>
      <c r="Q202" s="17">
        <f ca="1">((MIN(OTCapPct*Model!$G$24,MAX(0,(($J202*(1+0.5*Acuity_M))/(Cap_Doc*$C202*(1-$G202)))-Model!$G$24)))*OTCost_Doc)+((MIN(OTCapPct*Model!$G$6,MAX(0,(($J202)/(Cap_Nurse*$C202*(1-$H202)))-Model!$G$6)))*OTCost_Nurse)+((MIN(OTCapPct*Model!$G$15,MAX(0,(($J202)/(Cap_Tech*$C202*(1-$I202)))-Model!$G$15)))*OTCost_Tech)+((MIN(OTCapPct*Model!$G$25,MAX(0,(($K202*(1+0.5*Acuity_E))/(Cap_Doc*$C202*(1-$G202)))-Model!$G$25)))*OTCost_Doc)+((MIN(OTCapPct*Model!$G$7,MAX(0,(($K202)/(Cap_Nurse*$C202*(1-$H202)))-Model!$G$7)))*OTCost_Nurse)+((MIN(OTCapPct*Model!$G$16,MAX(0,(($K202)/(Cap_Tech*$C202*(1-$I202)))-Model!$G$16)))*OTCost_Tech)+((MIN(OTCapPct*Model!$G$26,MAX(0,(($L202*(1+0.5*Acuity_N))/(Cap_Doc*$C202*(1-$G202)))-Model!$G$26)))*OTCost_Doc)+((MIN(OTCapPct*Model!$G$8,MAX(0,(($L202)/(Cap_Nurse*$C202*(1-$H202)))-Model!$G$8)))*OTCost_Nurse)+((MIN(OTCapPct*Model!$G$17,MAX(0,(($L202)/(Cap_Tech*$C202*(1-$I202)))-Model!$G$17)))*OTCost_Tech)</f>
        <v>60541.666666666664</v>
      </c>
    </row>
    <row r="203" spans="1:17" x14ac:dyDescent="0.25">
      <c r="A203" s="11">
        <v>199</v>
      </c>
      <c r="B203" s="11" t="str">
        <f t="shared" ca="1" si="36"/>
        <v>Complex</v>
      </c>
      <c r="C203" s="11">
        <f t="shared" ca="1" si="37"/>
        <v>0.9</v>
      </c>
      <c r="D203" s="11">
        <f t="shared" ca="1" si="38"/>
        <v>0</v>
      </c>
      <c r="E203" s="11">
        <f t="shared" ca="1" si="39"/>
        <v>3</v>
      </c>
      <c r="F203" s="36">
        <f t="shared" ca="1" si="40"/>
        <v>1.0258455179227619</v>
      </c>
      <c r="G203" s="11">
        <f t="shared" ca="1" si="41"/>
        <v>0.10784149892539702</v>
      </c>
      <c r="H203" s="11">
        <f t="shared" ca="1" si="42"/>
        <v>0.11142734353176342</v>
      </c>
      <c r="I203" s="11">
        <f t="shared" ca="1" si="43"/>
        <v>7.3883522595739687E-2</v>
      </c>
      <c r="J203" s="11">
        <f t="shared" ca="1" si="44"/>
        <v>101</v>
      </c>
      <c r="K203" s="11">
        <f t="shared" ca="1" si="45"/>
        <v>139</v>
      </c>
      <c r="L203" s="11">
        <f t="shared" ca="1" si="46"/>
        <v>60</v>
      </c>
      <c r="M203" s="11">
        <f ca="1">MAX(MAX(0,($J203*(1+0.5*Acuity_M))-(Model!$G$24*(1+OTCapPct)*(Cap_Doc*$C203*(1-$G203)))),MAX(0,($J203)-(Model!$G$6*(1+OTCapPct)*(Cap_Nurse*$C203*(1-$H203)))),MAX(0,($J203)-(Model!$G$15*(1+OTCapPct)*(Cap_Tech*$C203*(1-$I203)))),MAX(0,$J203-((BedsCurrent+BedsAdded)*ShiftHours*$F203/BedHr_M)),MAX(0,$J203*Acuity_M-(ImgBase+ImgExpOn*ImgExpAdd)),MAX(0,$J203-(LabBase+LabExpOn*LabExpAdd)))</f>
        <v>21.778951766196471</v>
      </c>
      <c r="N203" s="11">
        <f ca="1">MAX(MAX(0,($K203*(1+0.5*Acuity_E))-(Model!$G$25*(1+OTCapPct)*(Cap_Doc*$C203*(1-$G203)))),MAX(0,($K203)-(Model!$G$7*(1+OTCapPct)*(Cap_Nurse*$C203*(1-$H203)))),MAX(0,($K203)-(Model!$G$16*(1+OTCapPct)*(Cap_Tech*$C203*(1-$I203)))),MAX(0,$K203-((BedsCurrent+BedsAdded)*ShiftHours*$F203/BedHr_E)),MAX(0,$K203*Acuity_E-(ImgBase+ImgExpOn*ImgExpAdd)),MAX(0,$K203-(LabBase+LabExpOn*LabExpAdd)))</f>
        <v>44</v>
      </c>
      <c r="O203" s="11">
        <f ca="1">MAX(MAX(0,($L203*(1+0.5*Acuity_N))-(Model!$G$26*(1+OTCapPct)*(Cap_Doc*$C203*(1-$G203)))),MAX(0,($L203)-(Model!$G$8*(1+OTCapPct)*(Cap_Nurse*$C203*(1-$H203)))),MAX(0,($L203)-(Model!$G$17*(1+OTCapPct)*(Cap_Tech*$C203*(1-$I203)))),MAX(0,$L203-((BedsCurrent+BedsAdded)*ShiftHours*$F203/BedHr_N)),MAX(0,$L203*Acuity_N-(ImgBase+ImgExpOn*ImgExpAdd)),MAX(0,$L203-(LabBase+LabExpOn*LabExpAdd)))</f>
        <v>0</v>
      </c>
      <c r="P203" s="11">
        <f t="shared" ca="1" si="47"/>
        <v>65.778951766196471</v>
      </c>
      <c r="Q203" s="17">
        <f ca="1">((MIN(OTCapPct*Model!$G$24,MAX(0,(($J203*(1+0.5*Acuity_M))/(Cap_Doc*$C203*(1-$G203)))-Model!$G$24)))*OTCost_Doc)+((MIN(OTCapPct*Model!$G$6,MAX(0,(($J203)/(Cap_Nurse*$C203*(1-$H203)))-Model!$G$6)))*OTCost_Nurse)+((MIN(OTCapPct*Model!$G$15,MAX(0,(($J203)/(Cap_Tech*$C203*(1-$I203)))-Model!$G$15)))*OTCost_Tech)+((MIN(OTCapPct*Model!$G$25,MAX(0,(($K203*(1+0.5*Acuity_E))/(Cap_Doc*$C203*(1-$G203)))-Model!$G$25)))*OTCost_Doc)+((MIN(OTCapPct*Model!$G$7,MAX(0,(($K203)/(Cap_Nurse*$C203*(1-$H203)))-Model!$G$7)))*OTCost_Nurse)+((MIN(OTCapPct*Model!$G$16,MAX(0,(($K203)/(Cap_Tech*$C203*(1-$I203)))-Model!$G$16)))*OTCost_Tech)+((MIN(OTCapPct*Model!$G$26,MAX(0,(($L203*(1+0.5*Acuity_N))/(Cap_Doc*$C203*(1-$G203)))-Model!$G$26)))*OTCost_Doc)+((MIN(OTCapPct*Model!$G$8,MAX(0,(($L203)/(Cap_Nurse*$C203*(1-$H203)))-Model!$G$8)))*OTCost_Nurse)+((MIN(OTCapPct*Model!$G$17,MAX(0,(($L203)/(Cap_Tech*$C203*(1-$I203)))-Model!$G$17)))*OTCost_Tech)</f>
        <v>88964.889049187084</v>
      </c>
    </row>
    <row r="204" spans="1:17" x14ac:dyDescent="0.25">
      <c r="A204" s="11">
        <v>200</v>
      </c>
      <c r="B204" s="11" t="str">
        <f t="shared" ca="1" si="36"/>
        <v>Normal</v>
      </c>
      <c r="C204" s="11">
        <f t="shared" ca="1" si="37"/>
        <v>1</v>
      </c>
      <c r="D204" s="11">
        <f t="shared" ca="1" si="38"/>
        <v>0</v>
      </c>
      <c r="E204" s="11">
        <f t="shared" ca="1" si="39"/>
        <v>3</v>
      </c>
      <c r="F204" s="36">
        <f t="shared" ca="1" si="40"/>
        <v>0.8861220668988401</v>
      </c>
      <c r="G204" s="11">
        <f t="shared" ca="1" si="41"/>
        <v>0.11782769320111594</v>
      </c>
      <c r="H204" s="11">
        <f t="shared" ca="1" si="42"/>
        <v>6.8430309406452464E-2</v>
      </c>
      <c r="I204" s="11">
        <f t="shared" ca="1" si="43"/>
        <v>3.3017977649843364E-2</v>
      </c>
      <c r="J204" s="11">
        <f t="shared" ca="1" si="44"/>
        <v>94</v>
      </c>
      <c r="K204" s="11">
        <f t="shared" ca="1" si="45"/>
        <v>119</v>
      </c>
      <c r="L204" s="11">
        <f t="shared" ca="1" si="46"/>
        <v>71</v>
      </c>
      <c r="M204" s="11">
        <f ca="1">MAX(MAX(0,($J204*(1+0.5*Acuity_M))-(Model!$G$24*(1+OTCapPct)*(Cap_Doc*$C204*(1-$G204)))),MAX(0,($J204)-(Model!$G$6*(1+OTCapPct)*(Cap_Nurse*$C204*(1-$H204)))),MAX(0,($J204)-(Model!$G$15*(1+OTCapPct)*(Cap_Tech*$C204*(1-$I204)))),MAX(0,$J204-((BedsCurrent+BedsAdded)*ShiftHours*$F204/BedHr_M)),MAX(0,$J204*Acuity_M-(ImgBase+ImgExpOn*ImgExpAdd)),MAX(0,$J204-(LabBase+LabExpOn*LabExpAdd)))</f>
        <v>5.0956154851255491</v>
      </c>
      <c r="N204" s="11">
        <f ca="1">MAX(MAX(0,($K204*(1+0.5*Acuity_E))-(Model!$G$25*(1+OTCapPct)*(Cap_Doc*$C204*(1-$G204)))),MAX(0,($K204)-(Model!$G$7*(1+OTCapPct)*(Cap_Nurse*$C204*(1-$H204)))),MAX(0,($K204)-(Model!$G$16*(1+OTCapPct)*(Cap_Tech*$C204*(1-$I204)))),MAX(0,$K204-((BedsCurrent+BedsAdded)*ShiftHours*$F204/BedHr_E)),MAX(0,$K204*Acuity_E-(ImgBase+ImgExpOn*ImgExpAdd)),MAX(0,$K204-(LabBase+LabExpOn*LabExpAdd)))</f>
        <v>24</v>
      </c>
      <c r="O204" s="11">
        <f ca="1">MAX(MAX(0,($L204*(1+0.5*Acuity_N))-(Model!$G$26*(1+OTCapPct)*(Cap_Doc*$C204*(1-$G204)))),MAX(0,($L204)-(Model!$G$8*(1+OTCapPct)*(Cap_Nurse*$C204*(1-$H204)))),MAX(0,($L204)-(Model!$G$17*(1+OTCapPct)*(Cap_Tech*$C204*(1-$I204)))),MAX(0,$L204-((BedsCurrent+BedsAdded)*ShiftHours*$F204/BedHr_N)),MAX(0,$L204*Acuity_N-(ImgBase+ImgExpOn*ImgExpAdd)),MAX(0,$L204-(LabBase+LabExpOn*LabExpAdd)))</f>
        <v>2.2544923881004308</v>
      </c>
      <c r="P204" s="11">
        <f t="shared" ca="1" si="47"/>
        <v>31.35010787322598</v>
      </c>
      <c r="Q204" s="17">
        <f ca="1">((MIN(OTCapPct*Model!$G$24,MAX(0,(($J204*(1+0.5*Acuity_M))/(Cap_Doc*$C204*(1-$G204)))-Model!$G$24)))*OTCost_Doc)+((MIN(OTCapPct*Model!$G$6,MAX(0,(($J204)/(Cap_Nurse*$C204*(1-$H204)))-Model!$G$6)))*OTCost_Nurse)+((MIN(OTCapPct*Model!$G$15,MAX(0,(($J204)/(Cap_Tech*$C204*(1-$I204)))-Model!$G$15)))*OTCost_Tech)+((MIN(OTCapPct*Model!$G$25,MAX(0,(($K204*(1+0.5*Acuity_E))/(Cap_Doc*$C204*(1-$G204)))-Model!$G$25)))*OTCost_Doc)+((MIN(OTCapPct*Model!$G$7,MAX(0,(($K204)/(Cap_Nurse*$C204*(1-$H204)))-Model!$G$7)))*OTCost_Nurse)+((MIN(OTCapPct*Model!$G$16,MAX(0,(($K204)/(Cap_Tech*$C204*(1-$I204)))-Model!$G$16)))*OTCost_Tech)+((MIN(OTCapPct*Model!$G$26,MAX(0,(($L204*(1+0.5*Acuity_N))/(Cap_Doc*$C204*(1-$G204)))-Model!$G$26)))*OTCost_Doc)+((MIN(OTCapPct*Model!$G$8,MAX(0,(($L204)/(Cap_Nurse*$C204*(1-$H204)))-Model!$G$8)))*OTCost_Nurse)+((MIN(OTCapPct*Model!$G$17,MAX(0,(($L204)/(Cap_Tech*$C204*(1-$I204)))-Model!$G$17)))*OTCost_Tech)</f>
        <v>68555.240119437905</v>
      </c>
    </row>
    <row r="205" spans="1:17" x14ac:dyDescent="0.25">
      <c r="A205" s="11">
        <v>201</v>
      </c>
      <c r="B205" s="11" t="str">
        <f t="shared" ca="1" si="36"/>
        <v>Severe</v>
      </c>
      <c r="C205" s="11">
        <f t="shared" ca="1" si="37"/>
        <v>0.8</v>
      </c>
      <c r="D205" s="11">
        <f t="shared" ca="1" si="38"/>
        <v>0</v>
      </c>
      <c r="E205" s="11">
        <f t="shared" ca="1" si="39"/>
        <v>3</v>
      </c>
      <c r="F205" s="36">
        <f t="shared" ca="1" si="40"/>
        <v>1.1704009611025881</v>
      </c>
      <c r="G205" s="11">
        <f t="shared" ca="1" si="41"/>
        <v>1.326253340133381E-2</v>
      </c>
      <c r="H205" s="11">
        <f t="shared" ca="1" si="42"/>
        <v>0</v>
      </c>
      <c r="I205" s="11">
        <f t="shared" ca="1" si="43"/>
        <v>0</v>
      </c>
      <c r="J205" s="11">
        <f t="shared" ca="1" si="44"/>
        <v>96</v>
      </c>
      <c r="K205" s="11">
        <f t="shared" ca="1" si="45"/>
        <v>130</v>
      </c>
      <c r="L205" s="11">
        <f t="shared" ca="1" si="46"/>
        <v>72</v>
      </c>
      <c r="M205" s="11">
        <f ca="1">MAX(MAX(0,($J205*(1+0.5*Acuity_M))-(Model!$G$24*(1+OTCapPct)*(Cap_Doc*$C205*(1-$G205)))),MAX(0,($J205)-(Model!$G$6*(1+OTCapPct)*(Cap_Nurse*$C205*(1-$H205)))),MAX(0,($J205)-(Model!$G$15*(1+OTCapPct)*(Cap_Tech*$C205*(1-$I205)))),MAX(0,$J205-((BedsCurrent+BedsAdded)*ShiftHours*$F205/BedHr_M)),MAX(0,$J205*Acuity_M-(ImgBase+ImgExpOn*ImgExpAdd)),MAX(0,$J205-(LabBase+LabExpOn*LabExpAdd)))</f>
        <v>17.753628006120039</v>
      </c>
      <c r="N205" s="11">
        <f ca="1">MAX(MAX(0,($K205*(1+0.5*Acuity_E))-(Model!$G$25*(1+OTCapPct)*(Cap_Doc*$C205*(1-$G205)))),MAX(0,($K205)-(Model!$G$7*(1+OTCapPct)*(Cap_Nurse*$C205*(1-$H205)))),MAX(0,($K205)-(Model!$G$16*(1+OTCapPct)*(Cap_Tech*$C205*(1-$I205)))),MAX(0,$K205-((BedsCurrent+BedsAdded)*ShiftHours*$F205/BedHr_E)),MAX(0,$K205*Acuity_E-(ImgBase+ImgExpOn*ImgExpAdd)),MAX(0,$K205-(LabBase+LabExpOn*LabExpAdd)))</f>
        <v>35</v>
      </c>
      <c r="O205" s="11">
        <f ca="1">MAX(MAX(0,($L205*(1+0.5*Acuity_N))-(Model!$G$26*(1+OTCapPct)*(Cap_Doc*$C205*(1-$G205)))),MAX(0,($L205)-(Model!$G$8*(1+OTCapPct)*(Cap_Nurse*$C205*(1-$H205)))),MAX(0,($L205)-(Model!$G$17*(1+OTCapPct)*(Cap_Tech*$C205*(1-$I205)))),MAX(0,$L205-((BedsCurrent+BedsAdded)*ShiftHours*$F205/BedHr_N)),MAX(0,$L205*Acuity_N-(ImgBase+ImgExpOn*ImgExpAdd)),MAX(0,$L205-(LabBase+LabExpOn*LabExpAdd)))</f>
        <v>11.754902404896029</v>
      </c>
      <c r="P205" s="11">
        <f t="shared" ca="1" si="47"/>
        <v>64.508530411016068</v>
      </c>
      <c r="Q205" s="17">
        <f ca="1">((MIN(OTCapPct*Model!$G$24,MAX(0,(($J205*(1+0.5*Acuity_M))/(Cap_Doc*$C205*(1-$G205)))-Model!$G$24)))*OTCost_Doc)+((MIN(OTCapPct*Model!$G$6,MAX(0,(($J205)/(Cap_Nurse*$C205*(1-$H205)))-Model!$G$6)))*OTCost_Nurse)+((MIN(OTCapPct*Model!$G$15,MAX(0,(($J205)/(Cap_Tech*$C205*(1-$I205)))-Model!$G$15)))*OTCost_Tech)+((MIN(OTCapPct*Model!$G$25,MAX(0,(($K205*(1+0.5*Acuity_E))/(Cap_Doc*$C205*(1-$G205)))-Model!$G$25)))*OTCost_Doc)+((MIN(OTCapPct*Model!$G$7,MAX(0,(($K205)/(Cap_Nurse*$C205*(1-$H205)))-Model!$G$7)))*OTCost_Nurse)+((MIN(OTCapPct*Model!$G$16,MAX(0,(($K205)/(Cap_Tech*$C205*(1-$I205)))-Model!$G$16)))*OTCost_Tech)+((MIN(OTCapPct*Model!$G$26,MAX(0,(($L205*(1+0.5*Acuity_N))/(Cap_Doc*$C205*(1-$G205)))-Model!$G$26)))*OTCost_Doc)+((MIN(OTCapPct*Model!$G$8,MAX(0,(($L205)/(Cap_Nurse*$C205*(1-$H205)))-Model!$G$8)))*OTCost_Nurse)+((MIN(OTCapPct*Model!$G$17,MAX(0,(($L205)/(Cap_Tech*$C205*(1-$I205)))-Model!$G$17)))*OTCost_Tech)</f>
        <v>100125</v>
      </c>
    </row>
    <row r="206" spans="1:17" x14ac:dyDescent="0.25">
      <c r="A206" s="11">
        <v>202</v>
      </c>
      <c r="B206" s="11" t="str">
        <f t="shared" ca="1" si="36"/>
        <v>Normal</v>
      </c>
      <c r="C206" s="11">
        <f t="shared" ca="1" si="37"/>
        <v>1</v>
      </c>
      <c r="D206" s="11">
        <f t="shared" ca="1" si="38"/>
        <v>0</v>
      </c>
      <c r="E206" s="11">
        <f t="shared" ca="1" si="39"/>
        <v>2</v>
      </c>
      <c r="F206" s="36">
        <f t="shared" ca="1" si="40"/>
        <v>0.93165352284447311</v>
      </c>
      <c r="G206" s="11">
        <f t="shared" ca="1" si="41"/>
        <v>0</v>
      </c>
      <c r="H206" s="11">
        <f t="shared" ca="1" si="42"/>
        <v>0</v>
      </c>
      <c r="I206" s="11">
        <f t="shared" ca="1" si="43"/>
        <v>0</v>
      </c>
      <c r="J206" s="11">
        <f t="shared" ca="1" si="44"/>
        <v>84</v>
      </c>
      <c r="K206" s="11">
        <f t="shared" ca="1" si="45"/>
        <v>83</v>
      </c>
      <c r="L206" s="11">
        <f t="shared" ca="1" si="46"/>
        <v>57</v>
      </c>
      <c r="M206" s="11">
        <f ca="1">MAX(MAX(0,($J206*(1+0.5*Acuity_M))-(Model!$G$24*(1+OTCapPct)*(Cap_Doc*$C206*(1-$G206)))),MAX(0,($J206)-(Model!$G$6*(1+OTCapPct)*(Cap_Nurse*$C206*(1-$H206)))),MAX(0,($J206)-(Model!$G$15*(1+OTCapPct)*(Cap_Tech*$C206*(1-$I206)))),MAX(0,$J206-((BedsCurrent+BedsAdded)*ShiftHours*$F206/BedHr_M)),MAX(0,$J206*Acuity_M-(ImgBase+ImgExpOn*ImgExpAdd)),MAX(0,$J206-(LabBase+LabExpOn*LabExpAdd)))</f>
        <v>0</v>
      </c>
      <c r="N206" s="11">
        <f ca="1">MAX(MAX(0,($K206*(1+0.5*Acuity_E))-(Model!$G$25*(1+OTCapPct)*(Cap_Doc*$C206*(1-$G206)))),MAX(0,($K206)-(Model!$G$7*(1+OTCapPct)*(Cap_Nurse*$C206*(1-$H206)))),MAX(0,($K206)-(Model!$G$16*(1+OTCapPct)*(Cap_Tech*$C206*(1-$I206)))),MAX(0,$K206-((BedsCurrent+BedsAdded)*ShiftHours*$F206/BedHr_E)),MAX(0,$K206*Acuity_E-(ImgBase+ImgExpOn*ImgExpAdd)),MAX(0,$K206-(LabBase+LabExpOn*LabExpAdd)))</f>
        <v>0</v>
      </c>
      <c r="O206" s="11">
        <f ca="1">MAX(MAX(0,($L206*(1+0.5*Acuity_N))-(Model!$G$26*(1+OTCapPct)*(Cap_Doc*$C206*(1-$G206)))),MAX(0,($L206)-(Model!$G$8*(1+OTCapPct)*(Cap_Nurse*$C206*(1-$H206)))),MAX(0,($L206)-(Model!$G$17*(1+OTCapPct)*(Cap_Tech*$C206*(1-$I206)))),MAX(0,$L206-((BedsCurrent+BedsAdded)*ShiftHours*$F206/BedHr_N)),MAX(0,$L206*Acuity_N-(ImgBase+ImgExpOn*ImgExpAdd)),MAX(0,$L206-(LabBase+LabExpOn*LabExpAdd)))</f>
        <v>0</v>
      </c>
      <c r="P206" s="11">
        <f t="shared" ca="1" si="47"/>
        <v>0</v>
      </c>
      <c r="Q206" s="17">
        <f ca="1">((MIN(OTCapPct*Model!$G$24,MAX(0,(($J206*(1+0.5*Acuity_M))/(Cap_Doc*$C206*(1-$G206)))-Model!$G$24)))*OTCost_Doc)+((MIN(OTCapPct*Model!$G$6,MAX(0,(($J206)/(Cap_Nurse*$C206*(1-$H206)))-Model!$G$6)))*OTCost_Nurse)+((MIN(OTCapPct*Model!$G$15,MAX(0,(($J206)/(Cap_Tech*$C206*(1-$I206)))-Model!$G$15)))*OTCost_Tech)+((MIN(OTCapPct*Model!$G$25,MAX(0,(($K206*(1+0.5*Acuity_E))/(Cap_Doc*$C206*(1-$G206)))-Model!$G$25)))*OTCost_Doc)+((MIN(OTCapPct*Model!$G$7,MAX(0,(($K206)/(Cap_Nurse*$C206*(1-$H206)))-Model!$G$7)))*OTCost_Nurse)+((MIN(OTCapPct*Model!$G$16,MAX(0,(($K206)/(Cap_Tech*$C206*(1-$I206)))-Model!$G$16)))*OTCost_Tech)+((MIN(OTCapPct*Model!$G$26,MAX(0,(($L206*(1+0.5*Acuity_N))/(Cap_Doc*$C206*(1-$G206)))-Model!$G$26)))*OTCost_Doc)+((MIN(OTCapPct*Model!$G$8,MAX(0,(($L206)/(Cap_Nurse*$C206*(1-$H206)))-Model!$G$8)))*OTCost_Nurse)+((MIN(OTCapPct*Model!$G$17,MAX(0,(($L206)/(Cap_Tech*$C206*(1-$I206)))-Model!$G$17)))*OTCost_Tech)</f>
        <v>2430.0000000000082</v>
      </c>
    </row>
    <row r="207" spans="1:17" x14ac:dyDescent="0.25">
      <c r="A207" s="11">
        <v>203</v>
      </c>
      <c r="B207" s="11" t="str">
        <f t="shared" ca="1" si="36"/>
        <v>Normal</v>
      </c>
      <c r="C207" s="11">
        <f t="shared" ca="1" si="37"/>
        <v>1</v>
      </c>
      <c r="D207" s="11">
        <f t="shared" ca="1" si="38"/>
        <v>0</v>
      </c>
      <c r="E207" s="11">
        <f t="shared" ca="1" si="39"/>
        <v>3</v>
      </c>
      <c r="F207" s="36">
        <f t="shared" ca="1" si="40"/>
        <v>1.0768193344470225</v>
      </c>
      <c r="G207" s="11">
        <f t="shared" ca="1" si="41"/>
        <v>2.4845271606067115E-2</v>
      </c>
      <c r="H207" s="11">
        <f t="shared" ca="1" si="42"/>
        <v>9.8249296071224138E-2</v>
      </c>
      <c r="I207" s="11">
        <f t="shared" ca="1" si="43"/>
        <v>2.8452643480524897E-3</v>
      </c>
      <c r="J207" s="11">
        <f t="shared" ca="1" si="44"/>
        <v>87</v>
      </c>
      <c r="K207" s="11">
        <f t="shared" ca="1" si="45"/>
        <v>104</v>
      </c>
      <c r="L207" s="11">
        <f t="shared" ca="1" si="46"/>
        <v>65</v>
      </c>
      <c r="M207" s="11">
        <f ca="1">MAX(MAX(0,($J207*(1+0.5*Acuity_M))-(Model!$G$24*(1+OTCapPct)*(Cap_Doc*$C207*(1-$G207)))),MAX(0,($J207)-(Model!$G$6*(1+OTCapPct)*(Cap_Nurse*$C207*(1-$H207)))),MAX(0,($J207)-(Model!$G$15*(1+OTCapPct)*(Cap_Tech*$C207*(1-$I207)))),MAX(0,$J207-((BedsCurrent+BedsAdded)*ShiftHours*$F207/BedHr_M)),MAX(0,$J207*Acuity_M-(ImgBase+ImgExpOn*ImgExpAdd)),MAX(0,$J207-(LabBase+LabExpOn*LabExpAdd)))</f>
        <v>0</v>
      </c>
      <c r="N207" s="11">
        <f ca="1">MAX(MAX(0,($K207*(1+0.5*Acuity_E))-(Model!$G$25*(1+OTCapPct)*(Cap_Doc*$C207*(1-$G207)))),MAX(0,($K207)-(Model!$G$7*(1+OTCapPct)*(Cap_Nurse*$C207*(1-$H207)))),MAX(0,($K207)-(Model!$G$16*(1+OTCapPct)*(Cap_Tech*$C207*(1-$I207)))),MAX(0,$K207-((BedsCurrent+BedsAdded)*ShiftHours*$F207/BedHr_E)),MAX(0,$K207*Acuity_E-(ImgBase+ImgExpOn*ImgExpAdd)),MAX(0,$K207-(LabBase+LabExpOn*LabExpAdd)))</f>
        <v>9</v>
      </c>
      <c r="O207" s="11">
        <f ca="1">MAX(MAX(0,($L207*(1+0.5*Acuity_N))-(Model!$G$26*(1+OTCapPct)*(Cap_Doc*$C207*(1-$G207)))),MAX(0,($L207)-(Model!$G$8*(1+OTCapPct)*(Cap_Nurse*$C207*(1-$H207)))),MAX(0,($L207)-(Model!$G$17*(1+OTCapPct)*(Cap_Tech*$C207*(1-$I207)))),MAX(0,$L207-((BedsCurrent+BedsAdded)*ShiftHours*$F207/BedHr_N)),MAX(0,$L207*Acuity_N-(ImgBase+ImgExpOn*ImgExpAdd)),MAX(0,$L207-(LabBase+LabExpOn*LabExpAdd)))</f>
        <v>0</v>
      </c>
      <c r="P207" s="11">
        <f t="shared" ca="1" si="47"/>
        <v>9</v>
      </c>
      <c r="Q207" s="17">
        <f ca="1">((MIN(OTCapPct*Model!$G$24,MAX(0,(($J207*(1+0.5*Acuity_M))/(Cap_Doc*$C207*(1-$G207)))-Model!$G$24)))*OTCost_Doc)+((MIN(OTCapPct*Model!$G$6,MAX(0,(($J207)/(Cap_Nurse*$C207*(1-$H207)))-Model!$G$6)))*OTCost_Nurse)+((MIN(OTCapPct*Model!$G$15,MAX(0,(($J207)/(Cap_Tech*$C207*(1-$I207)))-Model!$G$15)))*OTCost_Tech)+((MIN(OTCapPct*Model!$G$25,MAX(0,(($K207*(1+0.5*Acuity_E))/(Cap_Doc*$C207*(1-$G207)))-Model!$G$25)))*OTCost_Doc)+((MIN(OTCapPct*Model!$G$7,MAX(0,(($K207)/(Cap_Nurse*$C207*(1-$H207)))-Model!$G$7)))*OTCost_Nurse)+((MIN(OTCapPct*Model!$G$16,MAX(0,(($K207)/(Cap_Tech*$C207*(1-$I207)))-Model!$G$16)))*OTCost_Tech)+((MIN(OTCapPct*Model!$G$26,MAX(0,(($L207*(1+0.5*Acuity_N))/(Cap_Doc*$C207*(1-$G207)))-Model!$G$26)))*OTCost_Doc)+((MIN(OTCapPct*Model!$G$8,MAX(0,(($L207)/(Cap_Nurse*$C207*(1-$H207)))-Model!$G$8)))*OTCost_Nurse)+((MIN(OTCapPct*Model!$G$17,MAX(0,(($L207)/(Cap_Tech*$C207*(1-$I207)))-Model!$G$17)))*OTCost_Tech)</f>
        <v>17067.579796289057</v>
      </c>
    </row>
    <row r="208" spans="1:17" x14ac:dyDescent="0.25">
      <c r="A208" s="11">
        <v>204</v>
      </c>
      <c r="B208" s="11" t="str">
        <f t="shared" ca="1" si="36"/>
        <v>Normal</v>
      </c>
      <c r="C208" s="11">
        <f t="shared" ca="1" si="37"/>
        <v>1</v>
      </c>
      <c r="D208" s="11">
        <f t="shared" ca="1" si="38"/>
        <v>0</v>
      </c>
      <c r="E208" s="11">
        <f t="shared" ca="1" si="39"/>
        <v>2</v>
      </c>
      <c r="F208" s="36">
        <f t="shared" ca="1" si="40"/>
        <v>0.98874122454995605</v>
      </c>
      <c r="G208" s="11">
        <f t="shared" ca="1" si="41"/>
        <v>5.38405314196716E-3</v>
      </c>
      <c r="H208" s="11">
        <f t="shared" ca="1" si="42"/>
        <v>3.0292200657131601E-2</v>
      </c>
      <c r="I208" s="11">
        <f t="shared" ca="1" si="43"/>
        <v>4.3542652564824563E-3</v>
      </c>
      <c r="J208" s="11">
        <f t="shared" ca="1" si="44"/>
        <v>105</v>
      </c>
      <c r="K208" s="11">
        <f t="shared" ca="1" si="45"/>
        <v>111</v>
      </c>
      <c r="L208" s="11">
        <f t="shared" ca="1" si="46"/>
        <v>53</v>
      </c>
      <c r="M208" s="11">
        <f ca="1">MAX(MAX(0,($J208*(1+0.5*Acuity_M))-(Model!$G$24*(1+OTCapPct)*(Cap_Doc*$C208*(1-$G208)))),MAX(0,($J208)-(Model!$G$6*(1+OTCapPct)*(Cap_Nurse*$C208*(1-$H208)))),MAX(0,($J208)-(Model!$G$15*(1+OTCapPct)*(Cap_Tech*$C208*(1-$I208)))),MAX(0,$J208-((BedsCurrent+BedsAdded)*ShiftHours*$F208/BedHr_M)),MAX(0,$J208*Acuity_M-(ImgBase+ImgExpOn*ImgExpAdd)),MAX(0,$J208-(LabBase+LabExpOn*LabExpAdd)))</f>
        <v>10</v>
      </c>
      <c r="N208" s="11">
        <f ca="1">MAX(MAX(0,($K208*(1+0.5*Acuity_E))-(Model!$G$25*(1+OTCapPct)*(Cap_Doc*$C208*(1-$G208)))),MAX(0,($K208)-(Model!$G$7*(1+OTCapPct)*(Cap_Nurse*$C208*(1-$H208)))),MAX(0,($K208)-(Model!$G$16*(1+OTCapPct)*(Cap_Tech*$C208*(1-$I208)))),MAX(0,$K208-((BedsCurrent+BedsAdded)*ShiftHours*$F208/BedHr_E)),MAX(0,$K208*Acuity_E-(ImgBase+ImgExpOn*ImgExpAdd)),MAX(0,$K208-(LabBase+LabExpOn*LabExpAdd)))</f>
        <v>16</v>
      </c>
      <c r="O208" s="11">
        <f ca="1">MAX(MAX(0,($L208*(1+0.5*Acuity_N))-(Model!$G$26*(1+OTCapPct)*(Cap_Doc*$C208*(1-$G208)))),MAX(0,($L208)-(Model!$G$8*(1+OTCapPct)*(Cap_Nurse*$C208*(1-$H208)))),MAX(0,($L208)-(Model!$G$17*(1+OTCapPct)*(Cap_Tech*$C208*(1-$I208)))),MAX(0,$L208-((BedsCurrent+BedsAdded)*ShiftHours*$F208/BedHr_N)),MAX(0,$L208*Acuity_N-(ImgBase+ImgExpOn*ImgExpAdd)),MAX(0,$L208-(LabBase+LabExpOn*LabExpAdd)))</f>
        <v>0</v>
      </c>
      <c r="P208" s="11">
        <f t="shared" ca="1" si="47"/>
        <v>26</v>
      </c>
      <c r="Q208" s="17">
        <f ca="1">((MIN(OTCapPct*Model!$G$24,MAX(0,(($J208*(1+0.5*Acuity_M))/(Cap_Doc*$C208*(1-$G208)))-Model!$G$24)))*OTCost_Doc)+((MIN(OTCapPct*Model!$G$6,MAX(0,(($J208)/(Cap_Nurse*$C208*(1-$H208)))-Model!$G$6)))*OTCost_Nurse)+((MIN(OTCapPct*Model!$G$15,MAX(0,(($J208)/(Cap_Tech*$C208*(1-$I208)))-Model!$G$15)))*OTCost_Tech)+((MIN(OTCapPct*Model!$G$25,MAX(0,(($K208*(1+0.5*Acuity_E))/(Cap_Doc*$C208*(1-$G208)))-Model!$G$25)))*OTCost_Doc)+((MIN(OTCapPct*Model!$G$7,MAX(0,(($K208)/(Cap_Nurse*$C208*(1-$H208)))-Model!$G$7)))*OTCost_Nurse)+((MIN(OTCapPct*Model!$G$16,MAX(0,(($K208)/(Cap_Tech*$C208*(1-$I208)))-Model!$G$16)))*OTCost_Tech)+((MIN(OTCapPct*Model!$G$26,MAX(0,(($L208*(1+0.5*Acuity_N))/(Cap_Doc*$C208*(1-$G208)))-Model!$G$26)))*OTCost_Doc)+((MIN(OTCapPct*Model!$G$8,MAX(0,(($L208)/(Cap_Nurse*$C208*(1-$H208)))-Model!$G$8)))*OTCost_Nurse)+((MIN(OTCapPct*Model!$G$17,MAX(0,(($L208)/(Cap_Tech*$C208*(1-$I208)))-Model!$G$17)))*OTCost_Tech)</f>
        <v>31745.272451032106</v>
      </c>
    </row>
    <row r="209" spans="1:17" x14ac:dyDescent="0.25">
      <c r="A209" s="11">
        <v>205</v>
      </c>
      <c r="B209" s="11" t="str">
        <f t="shared" ca="1" si="36"/>
        <v>Normal</v>
      </c>
      <c r="C209" s="11">
        <f t="shared" ca="1" si="37"/>
        <v>1</v>
      </c>
      <c r="D209" s="11">
        <f t="shared" ca="1" si="38"/>
        <v>0</v>
      </c>
      <c r="E209" s="11">
        <f t="shared" ca="1" si="39"/>
        <v>2</v>
      </c>
      <c r="F209" s="36">
        <f t="shared" ca="1" si="40"/>
        <v>1.1814269875692012</v>
      </c>
      <c r="G209" s="11">
        <f t="shared" ca="1" si="41"/>
        <v>0.10179165118672451</v>
      </c>
      <c r="H209" s="11">
        <f t="shared" ca="1" si="42"/>
        <v>3.3475877618093626E-2</v>
      </c>
      <c r="I209" s="11">
        <f t="shared" ca="1" si="43"/>
        <v>0</v>
      </c>
      <c r="J209" s="11">
        <f t="shared" ca="1" si="44"/>
        <v>88</v>
      </c>
      <c r="K209" s="11">
        <f t="shared" ca="1" si="45"/>
        <v>118</v>
      </c>
      <c r="L209" s="11">
        <f t="shared" ca="1" si="46"/>
        <v>56</v>
      </c>
      <c r="M209" s="11">
        <f ca="1">MAX(MAX(0,($J209*(1+0.5*Acuity_M))-(Model!$G$24*(1+OTCapPct)*(Cap_Doc*$C209*(1-$G209)))),MAX(0,($J209)-(Model!$G$6*(1+OTCapPct)*(Cap_Nurse*$C209*(1-$H209)))),MAX(0,($J209)-(Model!$G$15*(1+OTCapPct)*(Cap_Tech*$C209*(1-$I209)))),MAX(0,$J209-((BedsCurrent+BedsAdded)*ShiftHours*$F209/BedHr_M)),MAX(0,$J209*Acuity_M-(ImgBase+ImgExpOn*ImgExpAdd)),MAX(0,$J209-(LabBase+LabExpOn*LabExpAdd)))</f>
        <v>0</v>
      </c>
      <c r="N209" s="11">
        <f ca="1">MAX(MAX(0,($K209*(1+0.5*Acuity_E))-(Model!$G$25*(1+OTCapPct)*(Cap_Doc*$C209*(1-$G209)))),MAX(0,($K209)-(Model!$G$7*(1+OTCapPct)*(Cap_Nurse*$C209*(1-$H209)))),MAX(0,($K209)-(Model!$G$16*(1+OTCapPct)*(Cap_Tech*$C209*(1-$I209)))),MAX(0,$K209-((BedsCurrent+BedsAdded)*ShiftHours*$F209/BedHr_E)),MAX(0,$K209*Acuity_E-(ImgBase+ImgExpOn*ImgExpAdd)),MAX(0,$K209-(LabBase+LabExpOn*LabExpAdd)))</f>
        <v>23</v>
      </c>
      <c r="O209" s="11">
        <f ca="1">MAX(MAX(0,($L209*(1+0.5*Acuity_N))-(Model!$G$26*(1+OTCapPct)*(Cap_Doc*$C209*(1-$G209)))),MAX(0,($L209)-(Model!$G$8*(1+OTCapPct)*(Cap_Nurse*$C209*(1-$H209)))),MAX(0,($L209)-(Model!$G$17*(1+OTCapPct)*(Cap_Tech*$C209*(1-$I209)))),MAX(0,$L209-((BedsCurrent+BedsAdded)*ShiftHours*$F209/BedHr_N)),MAX(0,$L209*Acuity_N-(ImgBase+ImgExpOn*ImgExpAdd)),MAX(0,$L209-(LabBase+LabExpOn*LabExpAdd)))</f>
        <v>0</v>
      </c>
      <c r="P209" s="11">
        <f t="shared" ca="1" si="47"/>
        <v>23</v>
      </c>
      <c r="Q209" s="17">
        <f ca="1">((MIN(OTCapPct*Model!$G$24,MAX(0,(($J209*(1+0.5*Acuity_M))/(Cap_Doc*$C209*(1-$G209)))-Model!$G$24)))*OTCost_Doc)+((MIN(OTCapPct*Model!$G$6,MAX(0,(($J209)/(Cap_Nurse*$C209*(1-$H209)))-Model!$G$6)))*OTCost_Nurse)+((MIN(OTCapPct*Model!$G$15,MAX(0,(($J209)/(Cap_Tech*$C209*(1-$I209)))-Model!$G$15)))*OTCost_Tech)+((MIN(OTCapPct*Model!$G$25,MAX(0,(($K209*(1+0.5*Acuity_E))/(Cap_Doc*$C209*(1-$G209)))-Model!$G$25)))*OTCost_Doc)+((MIN(OTCapPct*Model!$G$7,MAX(0,(($K209)/(Cap_Nurse*$C209*(1-$H209)))-Model!$G$7)))*OTCost_Nurse)+((MIN(OTCapPct*Model!$G$16,MAX(0,(($K209)/(Cap_Tech*$C209*(1-$I209)))-Model!$G$16)))*OTCost_Tech)+((MIN(OTCapPct*Model!$G$26,MAX(0,(($L209*(1+0.5*Acuity_N))/(Cap_Doc*$C209*(1-$G209)))-Model!$G$26)))*OTCost_Doc)+((MIN(OTCapPct*Model!$G$8,MAX(0,(($L209)/(Cap_Nurse*$C209*(1-$H209)))-Model!$G$8)))*OTCost_Nurse)+((MIN(OTCapPct*Model!$G$17,MAX(0,(($L209)/(Cap_Tech*$C209*(1-$I209)))-Model!$G$17)))*OTCost_Tech)</f>
        <v>36834.031779263139</v>
      </c>
    </row>
    <row r="210" spans="1:17" x14ac:dyDescent="0.25">
      <c r="A210" s="11">
        <v>206</v>
      </c>
      <c r="B210" s="11" t="str">
        <f t="shared" ca="1" si="36"/>
        <v>Normal</v>
      </c>
      <c r="C210" s="11">
        <f t="shared" ca="1" si="37"/>
        <v>1</v>
      </c>
      <c r="D210" s="11">
        <f t="shared" ca="1" si="38"/>
        <v>0</v>
      </c>
      <c r="E210" s="11">
        <f t="shared" ca="1" si="39"/>
        <v>1</v>
      </c>
      <c r="F210" s="36">
        <f t="shared" ca="1" si="40"/>
        <v>0.9134807974084489</v>
      </c>
      <c r="G210" s="11">
        <f t="shared" ca="1" si="41"/>
        <v>2.0569983983030931E-2</v>
      </c>
      <c r="H210" s="11">
        <f t="shared" ca="1" si="42"/>
        <v>0.1051939024531463</v>
      </c>
      <c r="I210" s="11">
        <f t="shared" ca="1" si="43"/>
        <v>0.15079824924494159</v>
      </c>
      <c r="J210" s="11">
        <f t="shared" ca="1" si="44"/>
        <v>105</v>
      </c>
      <c r="K210" s="11">
        <f t="shared" ca="1" si="45"/>
        <v>103</v>
      </c>
      <c r="L210" s="11">
        <f t="shared" ca="1" si="46"/>
        <v>69</v>
      </c>
      <c r="M210" s="11">
        <f ca="1">MAX(MAX(0,($J210*(1+0.5*Acuity_M))-(Model!$G$24*(1+OTCapPct)*(Cap_Doc*$C210*(1-$G210)))),MAX(0,($J210)-(Model!$G$6*(1+OTCapPct)*(Cap_Nurse*$C210*(1-$H210)))),MAX(0,($J210)-(Model!$G$15*(1+OTCapPct)*(Cap_Tech*$C210*(1-$I210)))),MAX(0,$J210-((BedsCurrent+BedsAdded)*ShiftHours*$F210/BedHr_M)),MAX(0,$J210*Acuity_M-(ImgBase+ImgExpOn*ImgExpAdd)),MAX(0,$J210-(LabBase+LabExpOn*LabExpAdd)))</f>
        <v>11.045359757580357</v>
      </c>
      <c r="N210" s="11">
        <f ca="1">MAX(MAX(0,($K210*(1+0.5*Acuity_E))-(Model!$G$25*(1+OTCapPct)*(Cap_Doc*$C210*(1-$G210)))),MAX(0,($K210)-(Model!$G$7*(1+OTCapPct)*(Cap_Nurse*$C210*(1-$H210)))),MAX(0,($K210)-(Model!$G$16*(1+OTCapPct)*(Cap_Tech*$C210*(1-$I210)))),MAX(0,$K210-((BedsCurrent+BedsAdded)*ShiftHours*$F210/BedHr_E)),MAX(0,$K210*Acuity_E-(ImgBase+ImgExpOn*ImgExpAdd)),MAX(0,$K210-(LabBase+LabExpOn*LabExpAdd)))</f>
        <v>8</v>
      </c>
      <c r="O210" s="11">
        <f ca="1">MAX(MAX(0,($L210*(1+0.5*Acuity_N))-(Model!$G$26*(1+OTCapPct)*(Cap_Doc*$C210*(1-$G210)))),MAX(0,($L210)-(Model!$G$8*(1+OTCapPct)*(Cap_Nurse*$C210*(1-$H210)))),MAX(0,($L210)-(Model!$G$17*(1+OTCapPct)*(Cap_Tech*$C210*(1-$I210)))),MAX(0,$L210-((BedsCurrent+BedsAdded)*ShiftHours*$F210/BedHr_N)),MAX(0,$L210*Acuity_N-(ImgBase+ImgExpOn*ImgExpAdd)),MAX(0,$L210-(LabBase+LabExpOn*LabExpAdd)))</f>
        <v>0</v>
      </c>
      <c r="P210" s="11">
        <f t="shared" ca="1" si="47"/>
        <v>19.045359757580357</v>
      </c>
      <c r="Q210" s="17">
        <f ca="1">((MIN(OTCapPct*Model!$G$24,MAX(0,(($J210*(1+0.5*Acuity_M))/(Cap_Doc*$C210*(1-$G210)))-Model!$G$24)))*OTCost_Doc)+((MIN(OTCapPct*Model!$G$6,MAX(0,(($J210)/(Cap_Nurse*$C210*(1-$H210)))-Model!$G$6)))*OTCost_Nurse)+((MIN(OTCapPct*Model!$G$15,MAX(0,(($J210)/(Cap_Tech*$C210*(1-$I210)))-Model!$G$15)))*OTCost_Tech)+((MIN(OTCapPct*Model!$G$25,MAX(0,(($K210*(1+0.5*Acuity_E))/(Cap_Doc*$C210*(1-$G210)))-Model!$G$25)))*OTCost_Doc)+((MIN(OTCapPct*Model!$G$7,MAX(0,(($K210)/(Cap_Nurse*$C210*(1-$H210)))-Model!$G$7)))*OTCost_Nurse)+((MIN(OTCapPct*Model!$G$16,MAX(0,(($K210)/(Cap_Tech*$C210*(1-$I210)))-Model!$G$16)))*OTCost_Tech)+((MIN(OTCapPct*Model!$G$26,MAX(0,(($L210*(1+0.5*Acuity_N))/(Cap_Doc*$C210*(1-$G210)))-Model!$G$26)))*OTCost_Doc)+((MIN(OTCapPct*Model!$G$8,MAX(0,(($L210)/(Cap_Nurse*$C210*(1-$H210)))-Model!$G$8)))*OTCost_Nurse)+((MIN(OTCapPct*Model!$G$17,MAX(0,(($L210)/(Cap_Tech*$C210*(1-$I210)))-Model!$G$17)))*OTCost_Tech)</f>
        <v>41746.269729025182</v>
      </c>
    </row>
    <row r="211" spans="1:17" x14ac:dyDescent="0.25">
      <c r="A211" s="11">
        <v>207</v>
      </c>
      <c r="B211" s="11" t="str">
        <f t="shared" ca="1" si="36"/>
        <v>Normal</v>
      </c>
      <c r="C211" s="11">
        <f t="shared" ca="1" si="37"/>
        <v>1</v>
      </c>
      <c r="D211" s="11">
        <f t="shared" ca="1" si="38"/>
        <v>0</v>
      </c>
      <c r="E211" s="11">
        <f t="shared" ca="1" si="39"/>
        <v>2</v>
      </c>
      <c r="F211" s="36">
        <f t="shared" ca="1" si="40"/>
        <v>1.0185620116330543</v>
      </c>
      <c r="G211" s="11">
        <f t="shared" ca="1" si="41"/>
        <v>8.5068116627593449E-2</v>
      </c>
      <c r="H211" s="11">
        <f t="shared" ca="1" si="42"/>
        <v>2.2608516430025129E-2</v>
      </c>
      <c r="I211" s="11">
        <f t="shared" ca="1" si="43"/>
        <v>5.2378149749890898E-2</v>
      </c>
      <c r="J211" s="11">
        <f t="shared" ca="1" si="44"/>
        <v>87</v>
      </c>
      <c r="K211" s="11">
        <f t="shared" ca="1" si="45"/>
        <v>122</v>
      </c>
      <c r="L211" s="11">
        <f t="shared" ca="1" si="46"/>
        <v>84</v>
      </c>
      <c r="M211" s="11">
        <f ca="1">MAX(MAX(0,($J211*(1+0.5*Acuity_M))-(Model!$G$24*(1+OTCapPct)*(Cap_Doc*$C211*(1-$G211)))),MAX(0,($J211)-(Model!$G$6*(1+OTCapPct)*(Cap_Nurse*$C211*(1-$H211)))),MAX(0,($J211)-(Model!$G$15*(1+OTCapPct)*(Cap_Tech*$C211*(1-$I211)))),MAX(0,$J211-((BedsCurrent+BedsAdded)*ShiftHours*$F211/BedHr_M)),MAX(0,$J211*Acuity_M-(ImgBase+ImgExpOn*ImgExpAdd)),MAX(0,$J211-(LabBase+LabExpOn*LabExpAdd)))</f>
        <v>0</v>
      </c>
      <c r="N211" s="11">
        <f ca="1">MAX(MAX(0,($K211*(1+0.5*Acuity_E))-(Model!$G$25*(1+OTCapPct)*(Cap_Doc*$C211*(1-$G211)))),MAX(0,($K211)-(Model!$G$7*(1+OTCapPct)*(Cap_Nurse*$C211*(1-$H211)))),MAX(0,($K211)-(Model!$G$16*(1+OTCapPct)*(Cap_Tech*$C211*(1-$I211)))),MAX(0,$K211-((BedsCurrent+BedsAdded)*ShiftHours*$F211/BedHr_E)),MAX(0,$K211*Acuity_E-(ImgBase+ImgExpOn*ImgExpAdd)),MAX(0,$K211-(LabBase+LabExpOn*LabExpAdd)))</f>
        <v>27</v>
      </c>
      <c r="O211" s="11">
        <f ca="1">MAX(MAX(0,($L211*(1+0.5*Acuity_N))-(Model!$G$26*(1+OTCapPct)*(Cap_Doc*$C211*(1-$G211)))),MAX(0,($L211)-(Model!$G$8*(1+OTCapPct)*(Cap_Nurse*$C211*(1-$H211)))),MAX(0,($L211)-(Model!$G$17*(1+OTCapPct)*(Cap_Tech*$C211*(1-$I211)))),MAX(0,$L211-((BedsCurrent+BedsAdded)*ShiftHours*$F211/BedHr_N)),MAX(0,$L211*Acuity_N-(ImgBase+ImgExpOn*ImgExpAdd)),MAX(0,$L211-(LabBase+LabExpOn*LabExpAdd)))</f>
        <v>14.256130496483394</v>
      </c>
      <c r="P211" s="11">
        <f t="shared" ca="1" si="47"/>
        <v>41.256130496483394</v>
      </c>
      <c r="Q211" s="17">
        <f ca="1">((MIN(OTCapPct*Model!$G$24,MAX(0,(($J211*(1+0.5*Acuity_M))/(Cap_Doc*$C211*(1-$G211)))-Model!$G$24)))*OTCost_Doc)+((MIN(OTCapPct*Model!$G$6,MAX(0,(($J211)/(Cap_Nurse*$C211*(1-$H211)))-Model!$G$6)))*OTCost_Nurse)+((MIN(OTCapPct*Model!$G$15,MAX(0,(($J211)/(Cap_Tech*$C211*(1-$I211)))-Model!$G$15)))*OTCost_Tech)+((MIN(OTCapPct*Model!$G$25,MAX(0,(($K211*(1+0.5*Acuity_E))/(Cap_Doc*$C211*(1-$G211)))-Model!$G$25)))*OTCost_Doc)+((MIN(OTCapPct*Model!$G$7,MAX(0,(($K211)/(Cap_Nurse*$C211*(1-$H211)))-Model!$G$7)))*OTCost_Nurse)+((MIN(OTCapPct*Model!$G$16,MAX(0,(($K211)/(Cap_Tech*$C211*(1-$I211)))-Model!$G$16)))*OTCost_Tech)+((MIN(OTCapPct*Model!$G$26,MAX(0,(($L211*(1+0.5*Acuity_N))/(Cap_Doc*$C211*(1-$G211)))-Model!$G$26)))*OTCost_Doc)+((MIN(OTCapPct*Model!$G$8,MAX(0,(($L211)/(Cap_Nurse*$C211*(1-$H211)))-Model!$G$8)))*OTCost_Nurse)+((MIN(OTCapPct*Model!$G$17,MAX(0,(($L211)/(Cap_Tech*$C211*(1-$I211)))-Model!$G$17)))*OTCost_Tech)</f>
        <v>59308.29615635665</v>
      </c>
    </row>
    <row r="212" spans="1:17" x14ac:dyDescent="0.25">
      <c r="A212" s="11">
        <v>208</v>
      </c>
      <c r="B212" s="11" t="str">
        <f t="shared" ca="1" si="36"/>
        <v>Normal</v>
      </c>
      <c r="C212" s="11">
        <f t="shared" ca="1" si="37"/>
        <v>1</v>
      </c>
      <c r="D212" s="11">
        <f t="shared" ca="1" si="38"/>
        <v>0</v>
      </c>
      <c r="E212" s="11">
        <f t="shared" ca="1" si="39"/>
        <v>2</v>
      </c>
      <c r="F212" s="36">
        <f t="shared" ca="1" si="40"/>
        <v>1.0471844981580791</v>
      </c>
      <c r="G212" s="11">
        <f t="shared" ca="1" si="41"/>
        <v>4.8158249222964342E-2</v>
      </c>
      <c r="H212" s="11">
        <f t="shared" ca="1" si="42"/>
        <v>9.6329925436205832E-2</v>
      </c>
      <c r="I212" s="11">
        <f t="shared" ca="1" si="43"/>
        <v>2.8220776315191962E-2</v>
      </c>
      <c r="J212" s="11">
        <f t="shared" ca="1" si="44"/>
        <v>82</v>
      </c>
      <c r="K212" s="11">
        <f t="shared" ca="1" si="45"/>
        <v>111</v>
      </c>
      <c r="L212" s="11">
        <f t="shared" ca="1" si="46"/>
        <v>66</v>
      </c>
      <c r="M212" s="11">
        <f ca="1">MAX(MAX(0,($J212*(1+0.5*Acuity_M))-(Model!$G$24*(1+OTCapPct)*(Cap_Doc*$C212*(1-$G212)))),MAX(0,($J212)-(Model!$G$6*(1+OTCapPct)*(Cap_Nurse*$C212*(1-$H212)))),MAX(0,($J212)-(Model!$G$15*(1+OTCapPct)*(Cap_Tech*$C212*(1-$I212)))),MAX(0,$J212-((BedsCurrent+BedsAdded)*ShiftHours*$F212/BedHr_M)),MAX(0,$J212*Acuity_M-(ImgBase+ImgExpOn*ImgExpAdd)),MAX(0,$J212-(LabBase+LabExpOn*LabExpAdd)))</f>
        <v>0</v>
      </c>
      <c r="N212" s="11">
        <f ca="1">MAX(MAX(0,($K212*(1+0.5*Acuity_E))-(Model!$G$25*(1+OTCapPct)*(Cap_Doc*$C212*(1-$G212)))),MAX(0,($K212)-(Model!$G$7*(1+OTCapPct)*(Cap_Nurse*$C212*(1-$H212)))),MAX(0,($K212)-(Model!$G$16*(1+OTCapPct)*(Cap_Tech*$C212*(1-$I212)))),MAX(0,$K212-((BedsCurrent+BedsAdded)*ShiftHours*$F212/BedHr_E)),MAX(0,$K212*Acuity_E-(ImgBase+ImgExpOn*ImgExpAdd)),MAX(0,$K212-(LabBase+LabExpOn*LabExpAdd)))</f>
        <v>16</v>
      </c>
      <c r="O212" s="11">
        <f ca="1">MAX(MAX(0,($L212*(1+0.5*Acuity_N))-(Model!$G$26*(1+OTCapPct)*(Cap_Doc*$C212*(1-$G212)))),MAX(0,($L212)-(Model!$G$8*(1+OTCapPct)*(Cap_Nurse*$C212*(1-$H212)))),MAX(0,($L212)-(Model!$G$17*(1+OTCapPct)*(Cap_Tech*$C212*(1-$I212)))),MAX(0,$L212-((BedsCurrent+BedsAdded)*ShiftHours*$F212/BedHr_N)),MAX(0,$L212*Acuity_N-(ImgBase+ImgExpOn*ImgExpAdd)),MAX(0,$L212-(LabBase+LabExpOn*LabExpAdd)))</f>
        <v>0</v>
      </c>
      <c r="P212" s="11">
        <f t="shared" ca="1" si="47"/>
        <v>16</v>
      </c>
      <c r="Q212" s="17">
        <f ca="1">((MIN(OTCapPct*Model!$G$24,MAX(0,(($J212*(1+0.5*Acuity_M))/(Cap_Doc*$C212*(1-$G212)))-Model!$G$24)))*OTCost_Doc)+((MIN(OTCapPct*Model!$G$6,MAX(0,(($J212)/(Cap_Nurse*$C212*(1-$H212)))-Model!$G$6)))*OTCost_Nurse)+((MIN(OTCapPct*Model!$G$15,MAX(0,(($J212)/(Cap_Tech*$C212*(1-$I212)))-Model!$G$15)))*OTCost_Tech)+((MIN(OTCapPct*Model!$G$25,MAX(0,(($K212*(1+0.5*Acuity_E))/(Cap_Doc*$C212*(1-$G212)))-Model!$G$25)))*OTCost_Doc)+((MIN(OTCapPct*Model!$G$7,MAX(0,(($K212)/(Cap_Nurse*$C212*(1-$H212)))-Model!$G$7)))*OTCost_Nurse)+((MIN(OTCapPct*Model!$G$16,MAX(0,(($K212)/(Cap_Tech*$C212*(1-$I212)))-Model!$G$16)))*OTCost_Tech)+((MIN(OTCapPct*Model!$G$26,MAX(0,(($L212*(1+0.5*Acuity_N))/(Cap_Doc*$C212*(1-$G212)))-Model!$G$26)))*OTCost_Doc)+((MIN(OTCapPct*Model!$G$8,MAX(0,(($L212)/(Cap_Nurse*$C212*(1-$H212)))-Model!$G$8)))*OTCost_Nurse)+((MIN(OTCapPct*Model!$G$17,MAX(0,(($L212)/(Cap_Tech*$C212*(1-$I212)))-Model!$G$17)))*OTCost_Tech)</f>
        <v>20977.219754408503</v>
      </c>
    </row>
    <row r="213" spans="1:17" x14ac:dyDescent="0.25">
      <c r="A213" s="11">
        <v>209</v>
      </c>
      <c r="B213" s="11" t="str">
        <f t="shared" ca="1" si="36"/>
        <v>Normal</v>
      </c>
      <c r="C213" s="11">
        <f t="shared" ca="1" si="37"/>
        <v>1</v>
      </c>
      <c r="D213" s="11">
        <f t="shared" ca="1" si="38"/>
        <v>0</v>
      </c>
      <c r="E213" s="11">
        <f t="shared" ca="1" si="39"/>
        <v>2</v>
      </c>
      <c r="F213" s="36">
        <f t="shared" ca="1" si="40"/>
        <v>1.1419703896056013</v>
      </c>
      <c r="G213" s="11">
        <f t="shared" ca="1" si="41"/>
        <v>0</v>
      </c>
      <c r="H213" s="11">
        <f t="shared" ca="1" si="42"/>
        <v>6.5171367325630933E-2</v>
      </c>
      <c r="I213" s="11">
        <f t="shared" ca="1" si="43"/>
        <v>0</v>
      </c>
      <c r="J213" s="11">
        <f t="shared" ca="1" si="44"/>
        <v>92</v>
      </c>
      <c r="K213" s="11">
        <f t="shared" ca="1" si="45"/>
        <v>102</v>
      </c>
      <c r="L213" s="11">
        <f t="shared" ca="1" si="46"/>
        <v>72</v>
      </c>
      <c r="M213" s="11">
        <f ca="1">MAX(MAX(0,($J213*(1+0.5*Acuity_M))-(Model!$G$24*(1+OTCapPct)*(Cap_Doc*$C213*(1-$G213)))),MAX(0,($J213)-(Model!$G$6*(1+OTCapPct)*(Cap_Nurse*$C213*(1-$H213)))),MAX(0,($J213)-(Model!$G$15*(1+OTCapPct)*(Cap_Tech*$C213*(1-$I213)))),MAX(0,$J213-((BedsCurrent+BedsAdded)*ShiftHours*$F213/BedHr_M)),MAX(0,$J213*Acuity_M-(ImgBase+ImgExpOn*ImgExpAdd)),MAX(0,$J213-(LabBase+LabExpOn*LabExpAdd)))</f>
        <v>0</v>
      </c>
      <c r="N213" s="11">
        <f ca="1">MAX(MAX(0,($K213*(1+0.5*Acuity_E))-(Model!$G$25*(1+OTCapPct)*(Cap_Doc*$C213*(1-$G213)))),MAX(0,($K213)-(Model!$G$7*(1+OTCapPct)*(Cap_Nurse*$C213*(1-$H213)))),MAX(0,($K213)-(Model!$G$16*(1+OTCapPct)*(Cap_Tech*$C213*(1-$I213)))),MAX(0,$K213-((BedsCurrent+BedsAdded)*ShiftHours*$F213/BedHr_E)),MAX(0,$K213*Acuity_E-(ImgBase+ImgExpOn*ImgExpAdd)),MAX(0,$K213-(LabBase+LabExpOn*LabExpAdd)))</f>
        <v>7</v>
      </c>
      <c r="O213" s="11">
        <f ca="1">MAX(MAX(0,($L213*(1+0.5*Acuity_N))-(Model!$G$26*(1+OTCapPct)*(Cap_Doc*$C213*(1-$G213)))),MAX(0,($L213)-(Model!$G$8*(1+OTCapPct)*(Cap_Nurse*$C213*(1-$H213)))),MAX(0,($L213)-(Model!$G$17*(1+OTCapPct)*(Cap_Tech*$C213*(1-$I213)))),MAX(0,$L213-((BedsCurrent+BedsAdded)*ShiftHours*$F213/BedHr_N)),MAX(0,$L213*Acuity_N-(ImgBase+ImgExpOn*ImgExpAdd)),MAX(0,$L213-(LabBase+LabExpOn*LabExpAdd)))</f>
        <v>0</v>
      </c>
      <c r="P213" s="11">
        <f t="shared" ca="1" si="47"/>
        <v>7</v>
      </c>
      <c r="Q213" s="17">
        <f ca="1">((MIN(OTCapPct*Model!$G$24,MAX(0,(($J213*(1+0.5*Acuity_M))/(Cap_Doc*$C213*(1-$G213)))-Model!$G$24)))*OTCost_Doc)+((MIN(OTCapPct*Model!$G$6,MAX(0,(($J213)/(Cap_Nurse*$C213*(1-$H213)))-Model!$G$6)))*OTCost_Nurse)+((MIN(OTCapPct*Model!$G$15,MAX(0,(($J213)/(Cap_Tech*$C213*(1-$I213)))-Model!$G$15)))*OTCost_Tech)+((MIN(OTCapPct*Model!$G$25,MAX(0,(($K213*(1+0.5*Acuity_E))/(Cap_Doc*$C213*(1-$G213)))-Model!$G$25)))*OTCost_Doc)+((MIN(OTCapPct*Model!$G$7,MAX(0,(($K213)/(Cap_Nurse*$C213*(1-$H213)))-Model!$G$7)))*OTCost_Nurse)+((MIN(OTCapPct*Model!$G$16,MAX(0,(($K213)/(Cap_Tech*$C213*(1-$I213)))-Model!$G$16)))*OTCost_Tech)+((MIN(OTCapPct*Model!$G$26,MAX(0,(($L213*(1+0.5*Acuity_N))/(Cap_Doc*$C213*(1-$G213)))-Model!$G$26)))*OTCost_Doc)+((MIN(OTCapPct*Model!$G$8,MAX(0,(($L213)/(Cap_Nurse*$C213*(1-$H213)))-Model!$G$8)))*OTCost_Nurse)+((MIN(OTCapPct*Model!$G$17,MAX(0,(($L213)/(Cap_Tech*$C213*(1-$I213)))-Model!$G$17)))*OTCost_Tech)</f>
        <v>28049.662468329832</v>
      </c>
    </row>
    <row r="214" spans="1:17" x14ac:dyDescent="0.25">
      <c r="A214" s="11">
        <v>210</v>
      </c>
      <c r="B214" s="11" t="str">
        <f t="shared" ca="1" si="36"/>
        <v>Severe</v>
      </c>
      <c r="C214" s="11">
        <f t="shared" ca="1" si="37"/>
        <v>0.8</v>
      </c>
      <c r="D214" s="11">
        <f t="shared" ca="1" si="38"/>
        <v>0</v>
      </c>
      <c r="E214" s="11">
        <f t="shared" ca="1" si="39"/>
        <v>3</v>
      </c>
      <c r="F214" s="36">
        <f t="shared" ca="1" si="40"/>
        <v>0.94341844519727991</v>
      </c>
      <c r="G214" s="11">
        <f t="shared" ca="1" si="41"/>
        <v>5.7855404888046483E-3</v>
      </c>
      <c r="H214" s="11">
        <f t="shared" ca="1" si="42"/>
        <v>0.18333033693081774</v>
      </c>
      <c r="I214" s="11">
        <f t="shared" ca="1" si="43"/>
        <v>6.1851147289952994E-2</v>
      </c>
      <c r="J214" s="11">
        <f t="shared" ca="1" si="44"/>
        <v>87</v>
      </c>
      <c r="K214" s="11">
        <f t="shared" ca="1" si="45"/>
        <v>103</v>
      </c>
      <c r="L214" s="11">
        <f t="shared" ca="1" si="46"/>
        <v>63</v>
      </c>
      <c r="M214" s="11">
        <f ca="1">MAX(MAX(0,($J214*(1+0.5*Acuity_M))-(Model!$G$24*(1+OTCapPct)*(Cap_Doc*$C214*(1-$G214)))),MAX(0,($J214)-(Model!$G$6*(1+OTCapPct)*(Cap_Nurse*$C214*(1-$H214)))),MAX(0,($J214)-(Model!$G$15*(1+OTCapPct)*(Cap_Tech*$C214*(1-$I214)))),MAX(0,$J214-((BedsCurrent+BedsAdded)*ShiftHours*$F214/BedHr_M)),MAX(0,$J214*Acuity_M-(ImgBase+ImgExpOn*ImgExpAdd)),MAX(0,$J214-(LabBase+LabExpOn*LabExpAdd)))</f>
        <v>18.399748302188669</v>
      </c>
      <c r="N214" s="11">
        <f ca="1">MAX(MAX(0,($K214*(1+0.5*Acuity_E))-(Model!$G$25*(1+OTCapPct)*(Cap_Doc*$C214*(1-$G214)))),MAX(0,($K214)-(Model!$G$7*(1+OTCapPct)*(Cap_Nurse*$C214*(1-$H214)))),MAX(0,($K214)-(Model!$G$16*(1+OTCapPct)*(Cap_Tech*$C214*(1-$I214)))),MAX(0,$K214-((BedsCurrent+BedsAdded)*ShiftHours*$F214/BedHr_E)),MAX(0,$K214*Acuity_E-(ImgBase+ImgExpOn*ImgExpAdd)),MAX(0,$K214-(LabBase+LabExpOn*LabExpAdd)))</f>
        <v>8</v>
      </c>
      <c r="O214" s="11">
        <f ca="1">MAX(MAX(0,($L214*(1+0.5*Acuity_N))-(Model!$G$26*(1+OTCapPct)*(Cap_Doc*$C214*(1-$G214)))),MAX(0,($L214)-(Model!$G$8*(1+OTCapPct)*(Cap_Nurse*$C214*(1-$H214)))),MAX(0,($L214)-(Model!$G$17*(1+OTCapPct)*(Cap_Tech*$C214*(1-$I214)))),MAX(0,$L214-((BedsCurrent+BedsAdded)*ShiftHours*$F214/BedHr_N)),MAX(0,$L214*Acuity_N-(ImgBase+ImgExpOn*ImgExpAdd)),MAX(0,$L214-(LabBase+LabExpOn*LabExpAdd)))</f>
        <v>4.1997842590188625</v>
      </c>
      <c r="P214" s="11">
        <f t="shared" ca="1" si="47"/>
        <v>30.599532561207532</v>
      </c>
      <c r="Q214" s="17">
        <f ca="1">((MIN(OTCapPct*Model!$G$24,MAX(0,(($J214*(1+0.5*Acuity_M))/(Cap_Doc*$C214*(1-$G214)))-Model!$G$24)))*OTCost_Doc)+((MIN(OTCapPct*Model!$G$6,MAX(0,(($J214)/(Cap_Nurse*$C214*(1-$H214)))-Model!$G$6)))*OTCost_Nurse)+((MIN(OTCapPct*Model!$G$15,MAX(0,(($J214)/(Cap_Tech*$C214*(1-$I214)))-Model!$G$15)))*OTCost_Tech)+((MIN(OTCapPct*Model!$G$25,MAX(0,(($K214*(1+0.5*Acuity_E))/(Cap_Doc*$C214*(1-$G214)))-Model!$G$25)))*OTCost_Doc)+((MIN(OTCapPct*Model!$G$7,MAX(0,(($K214)/(Cap_Nurse*$C214*(1-$H214)))-Model!$G$7)))*OTCost_Nurse)+((MIN(OTCapPct*Model!$G$16,MAX(0,(($K214)/(Cap_Tech*$C214*(1-$I214)))-Model!$G$16)))*OTCost_Tech)+((MIN(OTCapPct*Model!$G$26,MAX(0,(($L214*(1+0.5*Acuity_N))/(Cap_Doc*$C214*(1-$G214)))-Model!$G$26)))*OTCost_Doc)+((MIN(OTCapPct*Model!$G$8,MAX(0,(($L214)/(Cap_Nurse*$C214*(1-$H214)))-Model!$G$8)))*OTCost_Nurse)+((MIN(OTCapPct*Model!$G$17,MAX(0,(($L214)/(Cap_Tech*$C214*(1-$I214)))-Model!$G$17)))*OTCost_Tech)</f>
        <v>90594.893889907995</v>
      </c>
    </row>
    <row r="215" spans="1:17" x14ac:dyDescent="0.25">
      <c r="A215" s="11">
        <v>211</v>
      </c>
      <c r="B215" s="11" t="str">
        <f t="shared" ca="1" si="36"/>
        <v>Complex</v>
      </c>
      <c r="C215" s="11">
        <f t="shared" ca="1" si="37"/>
        <v>0.9</v>
      </c>
      <c r="D215" s="11">
        <f t="shared" ca="1" si="38"/>
        <v>0</v>
      </c>
      <c r="E215" s="11">
        <f t="shared" ca="1" si="39"/>
        <v>2</v>
      </c>
      <c r="F215" s="36">
        <f t="shared" ca="1" si="40"/>
        <v>1.0816315781642374</v>
      </c>
      <c r="G215" s="11">
        <f t="shared" ca="1" si="41"/>
        <v>0</v>
      </c>
      <c r="H215" s="11">
        <f t="shared" ca="1" si="42"/>
        <v>2.7938851538138174E-2</v>
      </c>
      <c r="I215" s="11">
        <f t="shared" ca="1" si="43"/>
        <v>6.9112473679438458E-2</v>
      </c>
      <c r="J215" s="11">
        <f t="shared" ca="1" si="44"/>
        <v>87</v>
      </c>
      <c r="K215" s="11">
        <f t="shared" ca="1" si="45"/>
        <v>129</v>
      </c>
      <c r="L215" s="11">
        <f t="shared" ca="1" si="46"/>
        <v>88</v>
      </c>
      <c r="M215" s="11">
        <f ca="1">MAX(MAX(0,($J215*(1+0.5*Acuity_M))-(Model!$G$24*(1+OTCapPct)*(Cap_Doc*$C215*(1-$G215)))),MAX(0,($J215)-(Model!$G$6*(1+OTCapPct)*(Cap_Nurse*$C215*(1-$H215)))),MAX(0,($J215)-(Model!$G$15*(1+OTCapPct)*(Cap_Tech*$C215*(1-$I215)))),MAX(0,$J215-((BedsCurrent+BedsAdded)*ShiftHours*$F215/BedHr_M)),MAX(0,$J215*Acuity_M-(ImgBase+ImgExpOn*ImgExpAdd)),MAX(0,$J215-(LabBase+LabExpOn*LabExpAdd)))</f>
        <v>0</v>
      </c>
      <c r="N215" s="11">
        <f ca="1">MAX(MAX(0,($K215*(1+0.5*Acuity_E))-(Model!$G$25*(1+OTCapPct)*(Cap_Doc*$C215*(1-$G215)))),MAX(0,($K215)-(Model!$G$7*(1+OTCapPct)*(Cap_Nurse*$C215*(1-$H215)))),MAX(0,($K215)-(Model!$G$16*(1+OTCapPct)*(Cap_Tech*$C215*(1-$I215)))),MAX(0,$K215-((BedsCurrent+BedsAdded)*ShiftHours*$F215/BedHr_E)),MAX(0,$K215*Acuity_E-(ImgBase+ImgExpOn*ImgExpAdd)),MAX(0,$K215-(LabBase+LabExpOn*LabExpAdd)))</f>
        <v>34</v>
      </c>
      <c r="O215" s="11">
        <f ca="1">MAX(MAX(0,($L215*(1+0.5*Acuity_N))-(Model!$G$26*(1+OTCapPct)*(Cap_Doc*$C215*(1-$G215)))),MAX(0,($L215)-(Model!$G$8*(1+OTCapPct)*(Cap_Nurse*$C215*(1-$H215)))),MAX(0,($L215)-(Model!$G$17*(1+OTCapPct)*(Cap_Tech*$C215*(1-$I215)))),MAX(0,$L215-((BedsCurrent+BedsAdded)*ShiftHours*$F215/BedHr_N)),MAX(0,$L215*Acuity_N-(ImgBase+ImgExpOn*ImgExpAdd)),MAX(0,$L215-(LabBase+LabExpOn*LabExpAdd)))</f>
        <v>20.199999999999989</v>
      </c>
      <c r="P215" s="11">
        <f t="shared" ca="1" si="47"/>
        <v>54.199999999999989</v>
      </c>
      <c r="Q215" s="17">
        <f ca="1">((MIN(OTCapPct*Model!$G$24,MAX(0,(($J215*(1+0.5*Acuity_M))/(Cap_Doc*$C215*(1-$G215)))-Model!$G$24)))*OTCost_Doc)+((MIN(OTCapPct*Model!$G$6,MAX(0,(($J215)/(Cap_Nurse*$C215*(1-$H215)))-Model!$G$6)))*OTCost_Nurse)+((MIN(OTCapPct*Model!$G$15,MAX(0,(($J215)/(Cap_Tech*$C215*(1-$I215)))-Model!$G$15)))*OTCost_Tech)+((MIN(OTCapPct*Model!$G$25,MAX(0,(($K215*(1+0.5*Acuity_E))/(Cap_Doc*$C215*(1-$G215)))-Model!$G$25)))*OTCost_Doc)+((MIN(OTCapPct*Model!$G$7,MAX(0,(($K215)/(Cap_Nurse*$C215*(1-$H215)))-Model!$G$7)))*OTCost_Nurse)+((MIN(OTCapPct*Model!$G$16,MAX(0,(($K215)/(Cap_Tech*$C215*(1-$I215)))-Model!$G$16)))*OTCost_Tech)+((MIN(OTCapPct*Model!$G$26,MAX(0,(($L215*(1+0.5*Acuity_N))/(Cap_Doc*$C215*(1-$G215)))-Model!$G$26)))*OTCost_Doc)+((MIN(OTCapPct*Model!$G$8,MAX(0,(($L215)/(Cap_Nurse*$C215*(1-$H215)))-Model!$G$8)))*OTCost_Nurse)+((MIN(OTCapPct*Model!$G$17,MAX(0,(($L215)/(Cap_Tech*$C215*(1-$I215)))-Model!$G$17)))*OTCost_Tech)</f>
        <v>92899.893747964612</v>
      </c>
    </row>
    <row r="216" spans="1:17" x14ac:dyDescent="0.25">
      <c r="A216" s="11">
        <v>212</v>
      </c>
      <c r="B216" s="11" t="str">
        <f t="shared" ca="1" si="36"/>
        <v>Complex</v>
      </c>
      <c r="C216" s="11">
        <f t="shared" ca="1" si="37"/>
        <v>0.9</v>
      </c>
      <c r="D216" s="11">
        <f t="shared" ca="1" si="38"/>
        <v>0</v>
      </c>
      <c r="E216" s="11">
        <f t="shared" ca="1" si="39"/>
        <v>3</v>
      </c>
      <c r="F216" s="36">
        <f t="shared" ca="1" si="40"/>
        <v>1.171417671778161</v>
      </c>
      <c r="G216" s="11">
        <f t="shared" ca="1" si="41"/>
        <v>0.10354842759345806</v>
      </c>
      <c r="H216" s="11">
        <f t="shared" ca="1" si="42"/>
        <v>1.3596955605332299E-2</v>
      </c>
      <c r="I216" s="11">
        <f t="shared" ca="1" si="43"/>
        <v>3.2640433294826014E-2</v>
      </c>
      <c r="J216" s="11">
        <f t="shared" ca="1" si="44"/>
        <v>71</v>
      </c>
      <c r="K216" s="11">
        <f t="shared" ca="1" si="45"/>
        <v>100</v>
      </c>
      <c r="L216" s="11">
        <f t="shared" ca="1" si="46"/>
        <v>66</v>
      </c>
      <c r="M216" s="11">
        <f ca="1">MAX(MAX(0,($J216*(1+0.5*Acuity_M))-(Model!$G$24*(1+OTCapPct)*(Cap_Doc*$C216*(1-$G216)))),MAX(0,($J216)-(Model!$G$6*(1+OTCapPct)*(Cap_Nurse*$C216*(1-$H216)))),MAX(0,($J216)-(Model!$G$15*(1+OTCapPct)*(Cap_Tech*$C216*(1-$I216)))),MAX(0,$J216-((BedsCurrent+BedsAdded)*ShiftHours*$F216/BedHr_M)),MAX(0,$J216*Acuity_M-(ImgBase+ImgExpOn*ImgExpAdd)),MAX(0,$J216-(LabBase+LabExpOn*LabExpAdd)))</f>
        <v>0</v>
      </c>
      <c r="N216" s="11">
        <f ca="1">MAX(MAX(0,($K216*(1+0.5*Acuity_E))-(Model!$G$25*(1+OTCapPct)*(Cap_Doc*$C216*(1-$G216)))),MAX(0,($K216)-(Model!$G$7*(1+OTCapPct)*(Cap_Nurse*$C216*(1-$H216)))),MAX(0,($K216)-(Model!$G$16*(1+OTCapPct)*(Cap_Tech*$C216*(1-$I216)))),MAX(0,$K216-((BedsCurrent+BedsAdded)*ShiftHours*$F216/BedHr_E)),MAX(0,$K216*Acuity_E-(ImgBase+ImgExpOn*ImgExpAdd)),MAX(0,$K216-(LabBase+LabExpOn*LabExpAdd)))</f>
        <v>5</v>
      </c>
      <c r="O216" s="11">
        <f ca="1">MAX(MAX(0,($L216*(1+0.5*Acuity_N))-(Model!$G$26*(1+OTCapPct)*(Cap_Doc*$C216*(1-$G216)))),MAX(0,($L216)-(Model!$G$8*(1+OTCapPct)*(Cap_Nurse*$C216*(1-$H216)))),MAX(0,($L216)-(Model!$G$17*(1+OTCapPct)*(Cap_Tech*$C216*(1-$I216)))),MAX(0,$L216-((BedsCurrent+BedsAdded)*ShiftHours*$F216/BedHr_N)),MAX(0,$L216*Acuity_N-(ImgBase+ImgExpOn*ImgExpAdd)),MAX(0,$L216-(LabBase+LabExpOn*LabExpAdd)))</f>
        <v>3.2874226350700866</v>
      </c>
      <c r="P216" s="11">
        <f t="shared" ca="1" si="47"/>
        <v>8.2874226350700866</v>
      </c>
      <c r="Q216" s="17">
        <f ca="1">((MIN(OTCapPct*Model!$G$24,MAX(0,(($J216*(1+0.5*Acuity_M))/(Cap_Doc*$C216*(1-$G216)))-Model!$G$24)))*OTCost_Doc)+((MIN(OTCapPct*Model!$G$6,MAX(0,(($J216)/(Cap_Nurse*$C216*(1-$H216)))-Model!$G$6)))*OTCost_Nurse)+((MIN(OTCapPct*Model!$G$15,MAX(0,(($J216)/(Cap_Tech*$C216*(1-$I216)))-Model!$G$15)))*OTCost_Tech)+((MIN(OTCapPct*Model!$G$25,MAX(0,(($K216*(1+0.5*Acuity_E))/(Cap_Doc*$C216*(1-$G216)))-Model!$G$25)))*OTCost_Doc)+((MIN(OTCapPct*Model!$G$7,MAX(0,(($K216)/(Cap_Nurse*$C216*(1-$H216)))-Model!$G$7)))*OTCost_Nurse)+((MIN(OTCapPct*Model!$G$16,MAX(0,(($K216)/(Cap_Tech*$C216*(1-$I216)))-Model!$G$16)))*OTCost_Tech)+((MIN(OTCapPct*Model!$G$26,MAX(0,(($L216*(1+0.5*Acuity_N))/(Cap_Doc*$C216*(1-$G216)))-Model!$G$26)))*OTCost_Doc)+((MIN(OTCapPct*Model!$G$8,MAX(0,(($L216)/(Cap_Nurse*$C216*(1-$H216)))-Model!$G$8)))*OTCost_Nurse)+((MIN(OTCapPct*Model!$G$17,MAX(0,(($L216)/(Cap_Tech*$C216*(1-$I216)))-Model!$G$17)))*OTCost_Tech)</f>
        <v>32004.213421032815</v>
      </c>
    </row>
    <row r="217" spans="1:17" x14ac:dyDescent="0.25">
      <c r="A217" s="11">
        <v>213</v>
      </c>
      <c r="B217" s="11" t="str">
        <f t="shared" ca="1" si="36"/>
        <v>Normal</v>
      </c>
      <c r="C217" s="11">
        <f t="shared" ca="1" si="37"/>
        <v>1</v>
      </c>
      <c r="D217" s="11">
        <f t="shared" ca="1" si="38"/>
        <v>0</v>
      </c>
      <c r="E217" s="11">
        <f t="shared" ca="1" si="39"/>
        <v>2</v>
      </c>
      <c r="F217" s="36">
        <f t="shared" ca="1" si="40"/>
        <v>0.82783435487370949</v>
      </c>
      <c r="G217" s="11">
        <f t="shared" ca="1" si="41"/>
        <v>5.8513295231664639E-2</v>
      </c>
      <c r="H217" s="11">
        <f t="shared" ca="1" si="42"/>
        <v>6.5225327041746689E-2</v>
      </c>
      <c r="I217" s="11">
        <f t="shared" ca="1" si="43"/>
        <v>0</v>
      </c>
      <c r="J217" s="11">
        <f t="shared" ca="1" si="44"/>
        <v>83</v>
      </c>
      <c r="K217" s="11">
        <f t="shared" ca="1" si="45"/>
        <v>138</v>
      </c>
      <c r="L217" s="11">
        <f t="shared" ca="1" si="46"/>
        <v>72</v>
      </c>
      <c r="M217" s="11">
        <f ca="1">MAX(MAX(0,($J217*(1+0.5*Acuity_M))-(Model!$G$24*(1+OTCapPct)*(Cap_Doc*$C217*(1-$G217)))),MAX(0,($J217)-(Model!$G$6*(1+OTCapPct)*(Cap_Nurse*$C217*(1-$H217)))),MAX(0,($J217)-(Model!$G$15*(1+OTCapPct)*(Cap_Tech*$C217*(1-$I217)))),MAX(0,$J217-((BedsCurrent+BedsAdded)*ShiftHours*$F217/BedHr_M)),MAX(0,$J217*Acuity_M-(ImgBase+ImgExpOn*ImgExpAdd)),MAX(0,$J217-(LabBase+LabExpOn*LabExpAdd)))</f>
        <v>0</v>
      </c>
      <c r="N217" s="11">
        <f ca="1">MAX(MAX(0,($K217*(1+0.5*Acuity_E))-(Model!$G$25*(1+OTCapPct)*(Cap_Doc*$C217*(1-$G217)))),MAX(0,($K217)-(Model!$G$7*(1+OTCapPct)*(Cap_Nurse*$C217*(1-$H217)))),MAX(0,($K217)-(Model!$G$16*(1+OTCapPct)*(Cap_Tech*$C217*(1-$I217)))),MAX(0,$K217-((BedsCurrent+BedsAdded)*ShiftHours*$F217/BedHr_E)),MAX(0,$K217*Acuity_E-(ImgBase+ImgExpOn*ImgExpAdd)),MAX(0,$K217-(LabBase+LabExpOn*LabExpAdd)))</f>
        <v>47.931622189740409</v>
      </c>
      <c r="O217" s="11">
        <f ca="1">MAX(MAX(0,($L217*(1+0.5*Acuity_N))-(Model!$G$26*(1+OTCapPct)*(Cap_Doc*$C217*(1-$G217)))),MAX(0,($L217)-(Model!$G$8*(1+OTCapPct)*(Cap_Nurse*$C217*(1-$H217)))),MAX(0,($L217)-(Model!$G$17*(1+OTCapPct)*(Cap_Tech*$C217*(1-$I217)))),MAX(0,$L217-((BedsCurrent+BedsAdded)*ShiftHours*$F217/BedHr_N)),MAX(0,$L217*Acuity_N-(ImgBase+ImgExpOn*ImgExpAdd)),MAX(0,$L217-(LabBase+LabExpOn*LabExpAdd)))</f>
        <v>0</v>
      </c>
      <c r="P217" s="11">
        <f t="shared" ca="1" si="47"/>
        <v>47.931622189740409</v>
      </c>
      <c r="Q217" s="17">
        <f ca="1">((MIN(OTCapPct*Model!$G$24,MAX(0,(($J217*(1+0.5*Acuity_M))/(Cap_Doc*$C217*(1-$G217)))-Model!$G$24)))*OTCost_Doc)+((MIN(OTCapPct*Model!$G$6,MAX(0,(($J217)/(Cap_Nurse*$C217*(1-$H217)))-Model!$G$6)))*OTCost_Nurse)+((MIN(OTCapPct*Model!$G$15,MAX(0,(($J217)/(Cap_Tech*$C217*(1-$I217)))-Model!$G$15)))*OTCost_Tech)+((MIN(OTCapPct*Model!$G$25,MAX(0,(($K217*(1+0.5*Acuity_E))/(Cap_Doc*$C217*(1-$G217)))-Model!$G$25)))*OTCost_Doc)+((MIN(OTCapPct*Model!$G$7,MAX(0,(($K217)/(Cap_Nurse*$C217*(1-$H217)))-Model!$G$7)))*OTCost_Nurse)+((MIN(OTCapPct*Model!$G$16,MAX(0,(($K217)/(Cap_Tech*$C217*(1-$I217)))-Model!$G$16)))*OTCost_Tech)+((MIN(OTCapPct*Model!$G$26,MAX(0,(($L217*(1+0.5*Acuity_N))/(Cap_Doc*$C217*(1-$G217)))-Model!$G$26)))*OTCost_Doc)+((MIN(OTCapPct*Model!$G$8,MAX(0,(($L217)/(Cap_Nurse*$C217*(1-$H217)))-Model!$G$8)))*OTCost_Nurse)+((MIN(OTCapPct*Model!$G$17,MAX(0,(($L217)/(Cap_Tech*$C217*(1-$I217)))-Model!$G$17)))*OTCost_Tech)</f>
        <v>64758.859308310377</v>
      </c>
    </row>
    <row r="218" spans="1:17" x14ac:dyDescent="0.25">
      <c r="A218" s="11">
        <v>214</v>
      </c>
      <c r="B218" s="11" t="str">
        <f t="shared" ca="1" si="36"/>
        <v>Complex</v>
      </c>
      <c r="C218" s="11">
        <f t="shared" ca="1" si="37"/>
        <v>0.9</v>
      </c>
      <c r="D218" s="11">
        <f t="shared" ca="1" si="38"/>
        <v>0</v>
      </c>
      <c r="E218" s="11">
        <f t="shared" ca="1" si="39"/>
        <v>1</v>
      </c>
      <c r="F218" s="36">
        <f t="shared" ca="1" si="40"/>
        <v>0.80336924702337231</v>
      </c>
      <c r="G218" s="11">
        <f t="shared" ca="1" si="41"/>
        <v>6.7770445562518405E-2</v>
      </c>
      <c r="H218" s="11">
        <f t="shared" ca="1" si="42"/>
        <v>3.4204298738237937E-3</v>
      </c>
      <c r="I218" s="11">
        <f t="shared" ca="1" si="43"/>
        <v>0.16880517753133478</v>
      </c>
      <c r="J218" s="11">
        <f t="shared" ca="1" si="44"/>
        <v>77</v>
      </c>
      <c r="K218" s="11">
        <f t="shared" ca="1" si="45"/>
        <v>109</v>
      </c>
      <c r="L218" s="11">
        <f t="shared" ca="1" si="46"/>
        <v>79</v>
      </c>
      <c r="M218" s="11">
        <f ca="1">MAX(MAX(0,($J218*(1+0.5*Acuity_M))-(Model!$G$24*(1+OTCapPct)*(Cap_Doc*$C218*(1-$G218)))),MAX(0,($J218)-(Model!$G$6*(1+OTCapPct)*(Cap_Nurse*$C218*(1-$H218)))),MAX(0,($J218)-(Model!$G$15*(1+OTCapPct)*(Cap_Tech*$C218*(1-$I218)))),MAX(0,$J218-((BedsCurrent+BedsAdded)*ShiftHours*$F218/BedHr_M)),MAX(0,$J218*Acuity_M-(ImgBase+ImgExpOn*ImgExpAdd)),MAX(0,$J218-(LabBase+LabExpOn*LabExpAdd)))</f>
        <v>0</v>
      </c>
      <c r="N218" s="11">
        <f ca="1">MAX(MAX(0,($K218*(1+0.5*Acuity_E))-(Model!$G$25*(1+OTCapPct)*(Cap_Doc*$C218*(1-$G218)))),MAX(0,($K218)-(Model!$G$7*(1+OTCapPct)*(Cap_Nurse*$C218*(1-$H218)))),MAX(0,($K218)-(Model!$G$16*(1+OTCapPct)*(Cap_Tech*$C218*(1-$I218)))),MAX(0,$K218-((BedsCurrent+BedsAdded)*ShiftHours*$F218/BedHr_E)),MAX(0,$K218*Acuity_E-(ImgBase+ImgExpOn*ImgExpAdd)),MAX(0,$K218-(LabBase+LabExpOn*LabExpAdd)))</f>
        <v>21.593425923857097</v>
      </c>
      <c r="O218" s="11">
        <f ca="1">MAX(MAX(0,($L218*(1+0.5*Acuity_N))-(Model!$G$26*(1+OTCapPct)*(Cap_Doc*$C218*(1-$G218)))),MAX(0,($L218)-(Model!$G$8*(1+OTCapPct)*(Cap_Nurse*$C218*(1-$H218)))),MAX(0,($L218)-(Model!$G$17*(1+OTCapPct)*(Cap_Tech*$C218*(1-$I218)))),MAX(0,$L218-((BedsCurrent+BedsAdded)*ShiftHours*$F218/BedHr_N)),MAX(0,$L218*Acuity_N-(ImgBase+ImgExpOn*ImgExpAdd)),MAX(0,$L218-(LabBase+LabExpOn*LabExpAdd)))</f>
        <v>15.339406090563983</v>
      </c>
      <c r="P218" s="11">
        <f t="shared" ca="1" si="47"/>
        <v>36.932832014421081</v>
      </c>
      <c r="Q218" s="17">
        <f ca="1">((MIN(OTCapPct*Model!$G$24,MAX(0,(($J218*(1+0.5*Acuity_M))/(Cap_Doc*$C218*(1-$G218)))-Model!$G$24)))*OTCost_Doc)+((MIN(OTCapPct*Model!$G$6,MAX(0,(($J218)/(Cap_Nurse*$C218*(1-$H218)))-Model!$G$6)))*OTCost_Nurse)+((MIN(OTCapPct*Model!$G$15,MAX(0,(($J218)/(Cap_Tech*$C218*(1-$I218)))-Model!$G$15)))*OTCost_Tech)+((MIN(OTCapPct*Model!$G$25,MAX(0,(($K218*(1+0.5*Acuity_E))/(Cap_Doc*$C218*(1-$G218)))-Model!$G$25)))*OTCost_Doc)+((MIN(OTCapPct*Model!$G$7,MAX(0,(($K218)/(Cap_Nurse*$C218*(1-$H218)))-Model!$G$7)))*OTCost_Nurse)+((MIN(OTCapPct*Model!$G$16,MAX(0,(($K218)/(Cap_Tech*$C218*(1-$I218)))-Model!$G$16)))*OTCost_Tech)+((MIN(OTCapPct*Model!$G$26,MAX(0,(($L218*(1+0.5*Acuity_N))/(Cap_Doc*$C218*(1-$G218)))-Model!$G$26)))*OTCost_Doc)+((MIN(OTCapPct*Model!$G$8,MAX(0,(($L218)/(Cap_Nurse*$C218*(1-$H218)))-Model!$G$8)))*OTCost_Nurse)+((MIN(OTCapPct*Model!$G$17,MAX(0,(($L218)/(Cap_Tech*$C218*(1-$I218)))-Model!$G$17)))*OTCost_Tech)</f>
        <v>58559.186086745678</v>
      </c>
    </row>
    <row r="219" spans="1:17" x14ac:dyDescent="0.25">
      <c r="A219" s="11">
        <v>215</v>
      </c>
      <c r="B219" s="11" t="str">
        <f t="shared" ca="1" si="36"/>
        <v>Normal</v>
      </c>
      <c r="C219" s="11">
        <f t="shared" ca="1" si="37"/>
        <v>1</v>
      </c>
      <c r="D219" s="11">
        <f t="shared" ca="1" si="38"/>
        <v>0</v>
      </c>
      <c r="E219" s="11">
        <f t="shared" ca="1" si="39"/>
        <v>1</v>
      </c>
      <c r="F219" s="36">
        <f t="shared" ca="1" si="40"/>
        <v>0.89019635353420612</v>
      </c>
      <c r="G219" s="11">
        <f t="shared" ca="1" si="41"/>
        <v>4.3404665031115827E-2</v>
      </c>
      <c r="H219" s="11">
        <f t="shared" ca="1" si="42"/>
        <v>4.2839379963009433E-2</v>
      </c>
      <c r="I219" s="11">
        <f t="shared" ca="1" si="43"/>
        <v>5.8447196842976348E-2</v>
      </c>
      <c r="J219" s="11">
        <f t="shared" ca="1" si="44"/>
        <v>93</v>
      </c>
      <c r="K219" s="11">
        <f t="shared" ca="1" si="45"/>
        <v>118</v>
      </c>
      <c r="L219" s="11">
        <f t="shared" ca="1" si="46"/>
        <v>76</v>
      </c>
      <c r="M219" s="11">
        <f ca="1">MAX(MAX(0,($J219*(1+0.5*Acuity_M))-(Model!$G$24*(1+OTCapPct)*(Cap_Doc*$C219*(1-$G219)))),MAX(0,($J219)-(Model!$G$6*(1+OTCapPct)*(Cap_Nurse*$C219*(1-$H219)))),MAX(0,($J219)-(Model!$G$15*(1+OTCapPct)*(Cap_Tech*$C219*(1-$I219)))),MAX(0,$J219-((BedsCurrent+BedsAdded)*ShiftHours*$F219/BedHr_M)),MAX(0,$J219*Acuity_M-(ImgBase+ImgExpOn*ImgExpAdd)),MAX(0,$J219-(LabBase+LabExpOn*LabExpAdd)))</f>
        <v>0</v>
      </c>
      <c r="N219" s="11">
        <f ca="1">MAX(MAX(0,($K219*(1+0.5*Acuity_E))-(Model!$G$25*(1+OTCapPct)*(Cap_Doc*$C219*(1-$G219)))),MAX(0,($K219)-(Model!$G$7*(1+OTCapPct)*(Cap_Nurse*$C219*(1-$H219)))),MAX(0,($K219)-(Model!$G$16*(1+OTCapPct)*(Cap_Tech*$C219*(1-$I219)))),MAX(0,$K219-((BedsCurrent+BedsAdded)*ShiftHours*$F219/BedHr_E)),MAX(0,$K219*Acuity_E-(ImgBase+ImgExpOn*ImgExpAdd)),MAX(0,$K219-(LabBase+LabExpOn*LabExpAdd)))</f>
        <v>23</v>
      </c>
      <c r="O219" s="11">
        <f ca="1">MAX(MAX(0,($L219*(1+0.5*Acuity_N))-(Model!$G$26*(1+OTCapPct)*(Cap_Doc*$C219*(1-$G219)))),MAX(0,($L219)-(Model!$G$8*(1+OTCapPct)*(Cap_Nurse*$C219*(1-$H219)))),MAX(0,($L219)-(Model!$G$17*(1+OTCapPct)*(Cap_Tech*$C219*(1-$I219)))),MAX(0,$L219-((BedsCurrent+BedsAdded)*ShiftHours*$F219/BedHr_N)),MAX(0,$L219*Acuity_N-(ImgBase+ImgExpOn*ImgExpAdd)),MAX(0,$L219-(LabBase+LabExpOn*LabExpAdd)))</f>
        <v>1.3064198528004169</v>
      </c>
      <c r="P219" s="11">
        <f t="shared" ca="1" si="47"/>
        <v>24.306419852800417</v>
      </c>
      <c r="Q219" s="17">
        <f ca="1">((MIN(OTCapPct*Model!$G$24,MAX(0,(($J219*(1+0.5*Acuity_M))/(Cap_Doc*$C219*(1-$G219)))-Model!$G$24)))*OTCost_Doc)+((MIN(OTCapPct*Model!$G$6,MAX(0,(($J219)/(Cap_Nurse*$C219*(1-$H219)))-Model!$G$6)))*OTCost_Nurse)+((MIN(OTCapPct*Model!$G$15,MAX(0,(($J219)/(Cap_Tech*$C219*(1-$I219)))-Model!$G$15)))*OTCost_Tech)+((MIN(OTCapPct*Model!$G$25,MAX(0,(($K219*(1+0.5*Acuity_E))/(Cap_Doc*$C219*(1-$G219)))-Model!$G$25)))*OTCost_Doc)+((MIN(OTCapPct*Model!$G$7,MAX(0,(($K219)/(Cap_Nurse*$C219*(1-$H219)))-Model!$G$7)))*OTCost_Nurse)+((MIN(OTCapPct*Model!$G$16,MAX(0,(($K219)/(Cap_Tech*$C219*(1-$I219)))-Model!$G$16)))*OTCost_Tech)+((MIN(OTCapPct*Model!$G$26,MAX(0,(($L219*(1+0.5*Acuity_N))/(Cap_Doc*$C219*(1-$G219)))-Model!$G$26)))*OTCost_Doc)+((MIN(OTCapPct*Model!$G$8,MAX(0,(($L219)/(Cap_Nurse*$C219*(1-$H219)))-Model!$G$8)))*OTCost_Nurse)+((MIN(OTCapPct*Model!$G$17,MAX(0,(($L219)/(Cap_Tech*$C219*(1-$I219)))-Model!$G$17)))*OTCost_Tech)</f>
        <v>53169.060583722152</v>
      </c>
    </row>
    <row r="220" spans="1:17" x14ac:dyDescent="0.25">
      <c r="A220" s="11">
        <v>216</v>
      </c>
      <c r="B220" s="11" t="str">
        <f t="shared" ca="1" si="36"/>
        <v>Normal</v>
      </c>
      <c r="C220" s="11">
        <f t="shared" ca="1" si="37"/>
        <v>1</v>
      </c>
      <c r="D220" s="11">
        <f t="shared" ca="1" si="38"/>
        <v>0</v>
      </c>
      <c r="E220" s="11">
        <f t="shared" ca="1" si="39"/>
        <v>1</v>
      </c>
      <c r="F220" s="36">
        <f t="shared" ca="1" si="40"/>
        <v>0.94231270572893466</v>
      </c>
      <c r="G220" s="11">
        <f t="shared" ca="1" si="41"/>
        <v>0</v>
      </c>
      <c r="H220" s="11">
        <f t="shared" ca="1" si="42"/>
        <v>6.1807646280744824E-2</v>
      </c>
      <c r="I220" s="11">
        <f t="shared" ca="1" si="43"/>
        <v>0</v>
      </c>
      <c r="J220" s="11">
        <f t="shared" ca="1" si="44"/>
        <v>90</v>
      </c>
      <c r="K220" s="11">
        <f t="shared" ca="1" si="45"/>
        <v>118</v>
      </c>
      <c r="L220" s="11">
        <f t="shared" ca="1" si="46"/>
        <v>74</v>
      </c>
      <c r="M220" s="11">
        <f ca="1">MAX(MAX(0,($J220*(1+0.5*Acuity_M))-(Model!$G$24*(1+OTCapPct)*(Cap_Doc*$C220*(1-$G220)))),MAX(0,($J220)-(Model!$G$6*(1+OTCapPct)*(Cap_Nurse*$C220*(1-$H220)))),MAX(0,($J220)-(Model!$G$15*(1+OTCapPct)*(Cap_Tech*$C220*(1-$I220)))),MAX(0,$J220-((BedsCurrent+BedsAdded)*ShiftHours*$F220/BedHr_M)),MAX(0,$J220*Acuity_M-(ImgBase+ImgExpOn*ImgExpAdd)),MAX(0,$J220-(LabBase+LabExpOn*LabExpAdd)))</f>
        <v>0</v>
      </c>
      <c r="N220" s="11">
        <f ca="1">MAX(MAX(0,($K220*(1+0.5*Acuity_E))-(Model!$G$25*(1+OTCapPct)*(Cap_Doc*$C220*(1-$G220)))),MAX(0,($K220)-(Model!$G$7*(1+OTCapPct)*(Cap_Nurse*$C220*(1-$H220)))),MAX(0,($K220)-(Model!$G$16*(1+OTCapPct)*(Cap_Tech*$C220*(1-$I220)))),MAX(0,$K220-((BedsCurrent+BedsAdded)*ShiftHours*$F220/BedHr_E)),MAX(0,$K220*Acuity_E-(ImgBase+ImgExpOn*ImgExpAdd)),MAX(0,$K220-(LabBase+LabExpOn*LabExpAdd)))</f>
        <v>23</v>
      </c>
      <c r="O220" s="11">
        <f ca="1">MAX(MAX(0,($L220*(1+0.5*Acuity_N))-(Model!$G$26*(1+OTCapPct)*(Cap_Doc*$C220*(1-$G220)))),MAX(0,($L220)-(Model!$G$8*(1+OTCapPct)*(Cap_Nurse*$C220*(1-$H220)))),MAX(0,($L220)-(Model!$G$17*(1+OTCapPct)*(Cap_Tech*$C220*(1-$I220)))),MAX(0,$L220-((BedsCurrent+BedsAdded)*ShiftHours*$F220/BedHr_N)),MAX(0,$L220*Acuity_N-(ImgBase+ImgExpOn*ImgExpAdd)),MAX(0,$L220-(LabBase+LabExpOn*LabExpAdd)))</f>
        <v>0</v>
      </c>
      <c r="P220" s="11">
        <f t="shared" ca="1" si="47"/>
        <v>23</v>
      </c>
      <c r="Q220" s="17">
        <f ca="1">((MIN(OTCapPct*Model!$G$24,MAX(0,(($J220*(1+0.5*Acuity_M))/(Cap_Doc*$C220*(1-$G220)))-Model!$G$24)))*OTCost_Doc)+((MIN(OTCapPct*Model!$G$6,MAX(0,(($J220)/(Cap_Nurse*$C220*(1-$H220)))-Model!$G$6)))*OTCost_Nurse)+((MIN(OTCapPct*Model!$G$15,MAX(0,(($J220)/(Cap_Tech*$C220*(1-$I220)))-Model!$G$15)))*OTCost_Tech)+((MIN(OTCapPct*Model!$G$25,MAX(0,(($K220*(1+0.5*Acuity_E))/(Cap_Doc*$C220*(1-$G220)))-Model!$G$25)))*OTCost_Doc)+((MIN(OTCapPct*Model!$G$7,MAX(0,(($K220)/(Cap_Nurse*$C220*(1-$H220)))-Model!$G$7)))*OTCost_Nurse)+((MIN(OTCapPct*Model!$G$16,MAX(0,(($K220)/(Cap_Tech*$C220*(1-$I220)))-Model!$G$16)))*OTCost_Tech)+((MIN(OTCapPct*Model!$G$26,MAX(0,(($L220*(1+0.5*Acuity_N))/(Cap_Doc*$C220*(1-$G220)))-Model!$G$26)))*OTCost_Doc)+((MIN(OTCapPct*Model!$G$8,MAX(0,(($L220)/(Cap_Nurse*$C220*(1-$H220)))-Model!$G$8)))*OTCost_Nurse)+((MIN(OTCapPct*Model!$G$17,MAX(0,(($L220)/(Cap_Tech*$C220*(1-$I220)))-Model!$G$17)))*OTCost_Tech)</f>
        <v>36953.094131983256</v>
      </c>
    </row>
    <row r="221" spans="1:17" x14ac:dyDescent="0.25">
      <c r="A221" s="11">
        <v>217</v>
      </c>
      <c r="B221" s="11" t="str">
        <f t="shared" ca="1" si="36"/>
        <v>Normal</v>
      </c>
      <c r="C221" s="11">
        <f t="shared" ca="1" si="37"/>
        <v>1</v>
      </c>
      <c r="D221" s="11">
        <f t="shared" ca="1" si="38"/>
        <v>0</v>
      </c>
      <c r="E221" s="11">
        <f t="shared" ca="1" si="39"/>
        <v>3</v>
      </c>
      <c r="F221" s="36">
        <f t="shared" ca="1" si="40"/>
        <v>1.1737489633696268</v>
      </c>
      <c r="G221" s="11">
        <f t="shared" ca="1" si="41"/>
        <v>7.7930135162081735E-2</v>
      </c>
      <c r="H221" s="11">
        <f t="shared" ca="1" si="42"/>
        <v>0.12105788877709552</v>
      </c>
      <c r="I221" s="11">
        <f t="shared" ca="1" si="43"/>
        <v>4.0738389566581081E-2</v>
      </c>
      <c r="J221" s="11">
        <f t="shared" ca="1" si="44"/>
        <v>88</v>
      </c>
      <c r="K221" s="11">
        <f t="shared" ca="1" si="45"/>
        <v>122</v>
      </c>
      <c r="L221" s="11">
        <f t="shared" ca="1" si="46"/>
        <v>78</v>
      </c>
      <c r="M221" s="11">
        <f ca="1">MAX(MAX(0,($J221*(1+0.5*Acuity_M))-(Model!$G$24*(1+OTCapPct)*(Cap_Doc*$C221*(1-$G221)))),MAX(0,($J221)-(Model!$G$6*(1+OTCapPct)*(Cap_Nurse*$C221*(1-$H221)))),MAX(0,($J221)-(Model!$G$15*(1+OTCapPct)*(Cap_Tech*$C221*(1-$I221)))),MAX(0,$J221-((BedsCurrent+BedsAdded)*ShiftHours*$F221/BedHr_M)),MAX(0,$J221*Acuity_M-(ImgBase+ImgExpOn*ImgExpAdd)),MAX(0,$J221-(LabBase+LabExpOn*LabExpAdd)))</f>
        <v>0</v>
      </c>
      <c r="N221" s="11">
        <f ca="1">MAX(MAX(0,($K221*(1+0.5*Acuity_E))-(Model!$G$25*(1+OTCapPct)*(Cap_Doc*$C221*(1-$G221)))),MAX(0,($K221)-(Model!$G$7*(1+OTCapPct)*(Cap_Nurse*$C221*(1-$H221)))),MAX(0,($K221)-(Model!$G$16*(1+OTCapPct)*(Cap_Tech*$C221*(1-$I221)))),MAX(0,$K221-((BedsCurrent+BedsAdded)*ShiftHours*$F221/BedHr_E)),MAX(0,$K221*Acuity_E-(ImgBase+ImgExpOn*ImgExpAdd)),MAX(0,$K221-(LabBase+LabExpOn*LabExpAdd)))</f>
        <v>27</v>
      </c>
      <c r="O221" s="11">
        <f ca="1">MAX(MAX(0,($L221*(1+0.5*Acuity_N))-(Model!$G$26*(1+OTCapPct)*(Cap_Doc*$C221*(1-$G221)))),MAX(0,($L221)-(Model!$G$8*(1+OTCapPct)*(Cap_Nurse*$C221*(1-$H221)))),MAX(0,($L221)-(Model!$G$17*(1+OTCapPct)*(Cap_Tech*$C221*(1-$I221)))),MAX(0,$L221-((BedsCurrent+BedsAdded)*ShiftHours*$F221/BedHr_N)),MAX(0,$L221*Acuity_N-(ImgBase+ImgExpOn*ImgExpAdd)),MAX(0,$L221-(LabBase+LabExpOn*LabExpAdd)))</f>
        <v>6.7137121645873492</v>
      </c>
      <c r="P221" s="11">
        <f t="shared" ca="1" si="47"/>
        <v>33.713712164587349</v>
      </c>
      <c r="Q221" s="17">
        <f ca="1">((MIN(OTCapPct*Model!$G$24,MAX(0,(($J221*(1+0.5*Acuity_M))/(Cap_Doc*$C221*(1-$G221)))-Model!$G$24)))*OTCost_Doc)+((MIN(OTCapPct*Model!$G$6,MAX(0,(($J221)/(Cap_Nurse*$C221*(1-$H221)))-Model!$G$6)))*OTCost_Nurse)+((MIN(OTCapPct*Model!$G$15,MAX(0,(($J221)/(Cap_Tech*$C221*(1-$I221)))-Model!$G$15)))*OTCost_Tech)+((MIN(OTCapPct*Model!$G$25,MAX(0,(($K221*(1+0.5*Acuity_E))/(Cap_Doc*$C221*(1-$G221)))-Model!$G$25)))*OTCost_Doc)+((MIN(OTCapPct*Model!$G$7,MAX(0,(($K221)/(Cap_Nurse*$C221*(1-$H221)))-Model!$G$7)))*OTCost_Nurse)+((MIN(OTCapPct*Model!$G$16,MAX(0,(($K221)/(Cap_Tech*$C221*(1-$I221)))-Model!$G$16)))*OTCost_Tech)+((MIN(OTCapPct*Model!$G$26,MAX(0,(($L221*(1+0.5*Acuity_N))/(Cap_Doc*$C221*(1-$G221)))-Model!$G$26)))*OTCost_Doc)+((MIN(OTCapPct*Model!$G$8,MAX(0,(($L221)/(Cap_Nurse*$C221*(1-$H221)))-Model!$G$8)))*OTCost_Nurse)+((MIN(OTCapPct*Model!$G$17,MAX(0,(($L221)/(Cap_Tech*$C221*(1-$I221)))-Model!$G$17)))*OTCost_Tech)</f>
        <v>73550.086846556049</v>
      </c>
    </row>
    <row r="222" spans="1:17" x14ac:dyDescent="0.25">
      <c r="A222" s="11">
        <v>218</v>
      </c>
      <c r="B222" s="11" t="str">
        <f t="shared" ca="1" si="36"/>
        <v>Normal</v>
      </c>
      <c r="C222" s="11">
        <f t="shared" ca="1" si="37"/>
        <v>1</v>
      </c>
      <c r="D222" s="11">
        <f t="shared" ca="1" si="38"/>
        <v>0</v>
      </c>
      <c r="E222" s="11">
        <f t="shared" ca="1" si="39"/>
        <v>1</v>
      </c>
      <c r="F222" s="36">
        <f t="shared" ca="1" si="40"/>
        <v>0.99172600686968371</v>
      </c>
      <c r="G222" s="11">
        <f t="shared" ca="1" si="41"/>
        <v>0</v>
      </c>
      <c r="H222" s="11">
        <f t="shared" ca="1" si="42"/>
        <v>7.7200506243989234E-2</v>
      </c>
      <c r="I222" s="11">
        <f t="shared" ca="1" si="43"/>
        <v>0.12495616354621474</v>
      </c>
      <c r="J222" s="11">
        <f t="shared" ca="1" si="44"/>
        <v>79</v>
      </c>
      <c r="K222" s="11">
        <f t="shared" ca="1" si="45"/>
        <v>141</v>
      </c>
      <c r="L222" s="11">
        <f t="shared" ca="1" si="46"/>
        <v>69</v>
      </c>
      <c r="M222" s="11">
        <f ca="1">MAX(MAX(0,($J222*(1+0.5*Acuity_M))-(Model!$G$24*(1+OTCapPct)*(Cap_Doc*$C222*(1-$G222)))),MAX(0,($J222)-(Model!$G$6*(1+OTCapPct)*(Cap_Nurse*$C222*(1-$H222)))),MAX(0,($J222)-(Model!$G$15*(1+OTCapPct)*(Cap_Tech*$C222*(1-$I222)))),MAX(0,$J222-((BedsCurrent+BedsAdded)*ShiftHours*$F222/BedHr_M)),MAX(0,$J222*Acuity_M-(ImgBase+ImgExpOn*ImgExpAdd)),MAX(0,$J222-(LabBase+LabExpOn*LabExpAdd)))</f>
        <v>0</v>
      </c>
      <c r="N222" s="11">
        <f ca="1">MAX(MAX(0,($K222*(1+0.5*Acuity_E))-(Model!$G$25*(1+OTCapPct)*(Cap_Doc*$C222*(1-$G222)))),MAX(0,($K222)-(Model!$G$7*(1+OTCapPct)*(Cap_Nurse*$C222*(1-$H222)))),MAX(0,($K222)-(Model!$G$16*(1+OTCapPct)*(Cap_Tech*$C222*(1-$I222)))),MAX(0,$K222-((BedsCurrent+BedsAdded)*ShiftHours*$F222/BedHr_E)),MAX(0,$K222*Acuity_E-(ImgBase+ImgExpOn*ImgExpAdd)),MAX(0,$K222-(LabBase+LabExpOn*LabExpAdd)))</f>
        <v>46</v>
      </c>
      <c r="O222" s="11">
        <f ca="1">MAX(MAX(0,($L222*(1+0.5*Acuity_N))-(Model!$G$26*(1+OTCapPct)*(Cap_Doc*$C222*(1-$G222)))),MAX(0,($L222)-(Model!$G$8*(1+OTCapPct)*(Cap_Nurse*$C222*(1-$H222)))),MAX(0,($L222)-(Model!$G$17*(1+OTCapPct)*(Cap_Tech*$C222*(1-$I222)))),MAX(0,$L222-((BedsCurrent+BedsAdded)*ShiftHours*$F222/BedHr_N)),MAX(0,$L222*Acuity_N-(ImgBase+ImgExpOn*ImgExpAdd)),MAX(0,$L222-(LabBase+LabExpOn*LabExpAdd)))</f>
        <v>0</v>
      </c>
      <c r="P222" s="11">
        <f t="shared" ca="1" si="47"/>
        <v>46</v>
      </c>
      <c r="Q222" s="17">
        <f ca="1">((MIN(OTCapPct*Model!$G$24,MAX(0,(($J222*(1+0.5*Acuity_M))/(Cap_Doc*$C222*(1-$G222)))-Model!$G$24)))*OTCost_Doc)+((MIN(OTCapPct*Model!$G$6,MAX(0,(($J222)/(Cap_Nurse*$C222*(1-$H222)))-Model!$G$6)))*OTCost_Nurse)+((MIN(OTCapPct*Model!$G$15,MAX(0,(($J222)/(Cap_Tech*$C222*(1-$I222)))-Model!$G$15)))*OTCost_Tech)+((MIN(OTCapPct*Model!$G$25,MAX(0,(($K222*(1+0.5*Acuity_E))/(Cap_Doc*$C222*(1-$G222)))-Model!$G$25)))*OTCost_Doc)+((MIN(OTCapPct*Model!$G$7,MAX(0,(($K222)/(Cap_Nurse*$C222*(1-$H222)))-Model!$G$7)))*OTCost_Nurse)+((MIN(OTCapPct*Model!$G$16,MAX(0,(($K222)/(Cap_Tech*$C222*(1-$I222)))-Model!$G$16)))*OTCost_Tech)+((MIN(OTCapPct*Model!$G$26,MAX(0,(($L222*(1+0.5*Acuity_N))/(Cap_Doc*$C222*(1-$G222)))-Model!$G$26)))*OTCost_Doc)+((MIN(OTCapPct*Model!$G$8,MAX(0,(($L222)/(Cap_Nurse*$C222*(1-$H222)))-Model!$G$8)))*OTCost_Nurse)+((MIN(OTCapPct*Model!$G$17,MAX(0,(($L222)/(Cap_Tech*$C222*(1-$I222)))-Model!$G$17)))*OTCost_Tech)</f>
        <v>52807.697083472005</v>
      </c>
    </row>
    <row r="223" spans="1:17" x14ac:dyDescent="0.25">
      <c r="A223" s="11">
        <v>219</v>
      </c>
      <c r="B223" s="11" t="str">
        <f t="shared" ca="1" si="36"/>
        <v>Complex</v>
      </c>
      <c r="C223" s="11">
        <f t="shared" ca="1" si="37"/>
        <v>0.9</v>
      </c>
      <c r="D223" s="11">
        <f t="shared" ca="1" si="38"/>
        <v>0</v>
      </c>
      <c r="E223" s="11">
        <f t="shared" ca="1" si="39"/>
        <v>2</v>
      </c>
      <c r="F223" s="36">
        <f t="shared" ca="1" si="40"/>
        <v>0.88126210898605439</v>
      </c>
      <c r="G223" s="11">
        <f t="shared" ca="1" si="41"/>
        <v>0</v>
      </c>
      <c r="H223" s="11">
        <f t="shared" ca="1" si="42"/>
        <v>8.222952937352522E-2</v>
      </c>
      <c r="I223" s="11">
        <f t="shared" ca="1" si="43"/>
        <v>5.4096214309329531E-2</v>
      </c>
      <c r="J223" s="11">
        <f t="shared" ca="1" si="44"/>
        <v>105</v>
      </c>
      <c r="K223" s="11">
        <f t="shared" ca="1" si="45"/>
        <v>104</v>
      </c>
      <c r="L223" s="11">
        <f t="shared" ca="1" si="46"/>
        <v>72</v>
      </c>
      <c r="M223" s="11">
        <f ca="1">MAX(MAX(0,($J223*(1+0.5*Acuity_M))-(Model!$G$24*(1+OTCapPct)*(Cap_Doc*$C223*(1-$G223)))),MAX(0,($J223)-(Model!$G$6*(1+OTCapPct)*(Cap_Nurse*$C223*(1-$H223)))),MAX(0,($J223)-(Model!$G$15*(1+OTCapPct)*(Cap_Tech*$C223*(1-$I223)))),MAX(0,$J223-((BedsCurrent+BedsAdded)*ShiftHours*$F223/BedHr_M)),MAX(0,$J223*Acuity_M-(ImgBase+ImgExpOn*ImgExpAdd)),MAX(0,$J223-(LabBase+LabExpOn*LabExpAdd)))</f>
        <v>18.27069052579813</v>
      </c>
      <c r="N223" s="11">
        <f ca="1">MAX(MAX(0,($K223*(1+0.5*Acuity_E))-(Model!$G$25*(1+OTCapPct)*(Cap_Doc*$C223*(1-$G223)))),MAX(0,($K223)-(Model!$G$7*(1+OTCapPct)*(Cap_Nurse*$C223*(1-$H223)))),MAX(0,($K223)-(Model!$G$16*(1+OTCapPct)*(Cap_Tech*$C223*(1-$I223)))),MAX(0,$K223-((BedsCurrent+BedsAdded)*ShiftHours*$F223/BedHr_E)),MAX(0,$K223*Acuity_E-(ImgBase+ImgExpOn*ImgExpAdd)),MAX(0,$K223-(LabBase+LabExpOn*LabExpAdd)))</f>
        <v>9</v>
      </c>
      <c r="O223" s="11">
        <f ca="1">MAX(MAX(0,($L223*(1+0.5*Acuity_N))-(Model!$G$26*(1+OTCapPct)*(Cap_Doc*$C223*(1-$G223)))),MAX(0,($L223)-(Model!$G$8*(1+OTCapPct)*(Cap_Nurse*$C223*(1-$H223)))),MAX(0,($L223)-(Model!$G$17*(1+OTCapPct)*(Cap_Tech*$C223*(1-$I223)))),MAX(0,$L223-((BedsCurrent+BedsAdded)*ShiftHours*$F223/BedHr_N)),MAX(0,$L223*Acuity_N-(ImgBase+ImgExpOn*ImgExpAdd)),MAX(0,$L223-(LabBase+LabExpOn*LabExpAdd)))</f>
        <v>1.7999999999999972</v>
      </c>
      <c r="P223" s="11">
        <f t="shared" ca="1" si="47"/>
        <v>29.070690525798128</v>
      </c>
      <c r="Q223" s="17">
        <f ca="1">((MIN(OTCapPct*Model!$G$24,MAX(0,(($J223*(1+0.5*Acuity_M))/(Cap_Doc*$C223*(1-$G223)))-Model!$G$24)))*OTCost_Doc)+((MIN(OTCapPct*Model!$G$6,MAX(0,(($J223)/(Cap_Nurse*$C223*(1-$H223)))-Model!$G$6)))*OTCost_Nurse)+((MIN(OTCapPct*Model!$G$15,MAX(0,(($J223)/(Cap_Tech*$C223*(1-$I223)))-Model!$G$15)))*OTCost_Tech)+((MIN(OTCapPct*Model!$G$25,MAX(0,(($K223*(1+0.5*Acuity_E))/(Cap_Doc*$C223*(1-$G223)))-Model!$G$25)))*OTCost_Doc)+((MIN(OTCapPct*Model!$G$7,MAX(0,(($K223)/(Cap_Nurse*$C223*(1-$H223)))-Model!$G$7)))*OTCost_Nurse)+((MIN(OTCapPct*Model!$G$16,MAX(0,(($K223)/(Cap_Tech*$C223*(1-$I223)))-Model!$G$16)))*OTCost_Tech)+((MIN(OTCapPct*Model!$G$26,MAX(0,(($L223*(1+0.5*Acuity_N))/(Cap_Doc*$C223*(1-$G223)))-Model!$G$26)))*OTCost_Doc)+((MIN(OTCapPct*Model!$G$8,MAX(0,(($L223)/(Cap_Nurse*$C223*(1-$H223)))-Model!$G$8)))*OTCost_Nurse)+((MIN(OTCapPct*Model!$G$17,MAX(0,(($L223)/(Cap_Tech*$C223*(1-$I223)))-Model!$G$17)))*OTCost_Tech)</f>
        <v>61577.272534798452</v>
      </c>
    </row>
    <row r="224" spans="1:17" x14ac:dyDescent="0.25">
      <c r="A224" s="11">
        <v>220</v>
      </c>
      <c r="B224" s="11" t="str">
        <f t="shared" ca="1" si="36"/>
        <v>Normal</v>
      </c>
      <c r="C224" s="11">
        <f t="shared" ca="1" si="37"/>
        <v>1</v>
      </c>
      <c r="D224" s="11">
        <f t="shared" ca="1" si="38"/>
        <v>1</v>
      </c>
      <c r="E224" s="11">
        <f t="shared" ca="1" si="39"/>
        <v>3</v>
      </c>
      <c r="F224" s="36">
        <f t="shared" ca="1" si="40"/>
        <v>0.9623129391247075</v>
      </c>
      <c r="G224" s="11">
        <f t="shared" ca="1" si="41"/>
        <v>0.13153813964688885</v>
      </c>
      <c r="H224" s="11">
        <f t="shared" ca="1" si="42"/>
        <v>7.844417564754172E-2</v>
      </c>
      <c r="I224" s="11">
        <f t="shared" ca="1" si="43"/>
        <v>0.13933817180426117</v>
      </c>
      <c r="J224" s="11">
        <f t="shared" ca="1" si="44"/>
        <v>90</v>
      </c>
      <c r="K224" s="11">
        <f t="shared" ca="1" si="45"/>
        <v>139</v>
      </c>
      <c r="L224" s="11">
        <f t="shared" ca="1" si="46"/>
        <v>85</v>
      </c>
      <c r="M224" s="11">
        <f ca="1">MAX(MAX(0,($J224*(1+0.5*Acuity_M))-(Model!$G$24*(1+OTCapPct)*(Cap_Doc*$C224*(1-$G224)))),MAX(0,($J224)-(Model!$G$6*(1+OTCapPct)*(Cap_Nurse*$C224*(1-$H224)))),MAX(0,($J224)-(Model!$G$15*(1+OTCapPct)*(Cap_Tech*$C224*(1-$I224)))),MAX(0,$J224-((BedsCurrent+BedsAdded)*ShiftHours*$F224/BedHr_M)),MAX(0,$J224*Acuity_M-(ImgBase+ImgExpOn*ImgExpAdd)),MAX(0,$J224-(LabBase+LabExpOn*LabExpAdd)))</f>
        <v>2.198040710274995</v>
      </c>
      <c r="N224" s="11">
        <f ca="1">MAX(MAX(0,($K224*(1+0.5*Acuity_E))-(Model!$G$25*(1+OTCapPct)*(Cap_Doc*$C224*(1-$G224)))),MAX(0,($K224)-(Model!$G$7*(1+OTCapPct)*(Cap_Nurse*$C224*(1-$H224)))),MAX(0,($K224)-(Model!$G$16*(1+OTCapPct)*(Cap_Tech*$C224*(1-$I224)))),MAX(0,$K224-((BedsCurrent+BedsAdded)*ShiftHours*$F224/BedHr_E)),MAX(0,$K224*Acuity_E-(ImgBase+ImgExpOn*ImgExpAdd)),MAX(0,$K224-(LabBase+LabExpOn*LabExpAdd)))</f>
        <v>44</v>
      </c>
      <c r="O224" s="11">
        <f ca="1">MAX(MAX(0,($L224*(1+0.5*Acuity_N))-(Model!$G$26*(1+OTCapPct)*(Cap_Doc*$C224*(1-$G224)))),MAX(0,($L224)-(Model!$G$8*(1+OTCapPct)*(Cap_Nurse*$C224*(1-$H224)))),MAX(0,($L224)-(Model!$G$17*(1+OTCapPct)*(Cap_Tech*$C224*(1-$I224)))),MAX(0,$L224-((BedsCurrent+BedsAdded)*ShiftHours*$F224/BedHr_N)),MAX(0,$L224*Acuity_N-(ImgBase+ImgExpOn*ImgExpAdd)),MAX(0,$L224-(LabBase+LabExpOn*LabExpAdd)))</f>
        <v>19.588432568219986</v>
      </c>
      <c r="P224" s="11">
        <f t="shared" ca="1" si="47"/>
        <v>65.786473278494981</v>
      </c>
      <c r="Q224" s="17">
        <f ca="1">((MIN(OTCapPct*Model!$G$24,MAX(0,(($J224*(1+0.5*Acuity_M))/(Cap_Doc*$C224*(1-$G224)))-Model!$G$24)))*OTCost_Doc)+((MIN(OTCapPct*Model!$G$6,MAX(0,(($J224)/(Cap_Nurse*$C224*(1-$H224)))-Model!$G$6)))*OTCost_Nurse)+((MIN(OTCapPct*Model!$G$15,MAX(0,(($J224)/(Cap_Tech*$C224*(1-$I224)))-Model!$G$15)))*OTCost_Tech)+((MIN(OTCapPct*Model!$G$25,MAX(0,(($K224*(1+0.5*Acuity_E))/(Cap_Doc*$C224*(1-$G224)))-Model!$G$25)))*OTCost_Doc)+((MIN(OTCapPct*Model!$G$7,MAX(0,(($K224)/(Cap_Nurse*$C224*(1-$H224)))-Model!$G$7)))*OTCost_Nurse)+((MIN(OTCapPct*Model!$G$16,MAX(0,(($K224)/(Cap_Tech*$C224*(1-$I224)))-Model!$G$16)))*OTCost_Tech)+((MIN(OTCapPct*Model!$G$26,MAX(0,(($L224*(1+0.5*Acuity_N))/(Cap_Doc*$C224*(1-$G224)))-Model!$G$26)))*OTCost_Doc)+((MIN(OTCapPct*Model!$G$8,MAX(0,(($L224)/(Cap_Nurse*$C224*(1-$H224)))-Model!$G$8)))*OTCost_Nurse)+((MIN(OTCapPct*Model!$G$17,MAX(0,(($L224)/(Cap_Tech*$C224*(1-$I224)))-Model!$G$17)))*OTCost_Tech)</f>
        <v>96288.320164220902</v>
      </c>
    </row>
    <row r="225" spans="1:17" x14ac:dyDescent="0.25">
      <c r="A225" s="11">
        <v>221</v>
      </c>
      <c r="B225" s="11" t="str">
        <f t="shared" ca="1" si="36"/>
        <v>Complex</v>
      </c>
      <c r="C225" s="11">
        <f t="shared" ca="1" si="37"/>
        <v>0.9</v>
      </c>
      <c r="D225" s="11">
        <f t="shared" ca="1" si="38"/>
        <v>0</v>
      </c>
      <c r="E225" s="11">
        <f t="shared" ca="1" si="39"/>
        <v>1</v>
      </c>
      <c r="F225" s="36">
        <f t="shared" ca="1" si="40"/>
        <v>1.1923660280914117</v>
      </c>
      <c r="G225" s="11">
        <f t="shared" ca="1" si="41"/>
        <v>5.5221071888376341E-2</v>
      </c>
      <c r="H225" s="11">
        <f t="shared" ca="1" si="42"/>
        <v>0</v>
      </c>
      <c r="I225" s="11">
        <f t="shared" ca="1" si="43"/>
        <v>0</v>
      </c>
      <c r="J225" s="11">
        <f t="shared" ca="1" si="44"/>
        <v>74</v>
      </c>
      <c r="K225" s="11">
        <f t="shared" ca="1" si="45"/>
        <v>153</v>
      </c>
      <c r="L225" s="11">
        <f t="shared" ca="1" si="46"/>
        <v>82</v>
      </c>
      <c r="M225" s="11">
        <f ca="1">MAX(MAX(0,($J225*(1+0.5*Acuity_M))-(Model!$G$24*(1+OTCapPct)*(Cap_Doc*$C225*(1-$G225)))),MAX(0,($J225)-(Model!$G$6*(1+OTCapPct)*(Cap_Nurse*$C225*(1-$H225)))),MAX(0,($J225)-(Model!$G$15*(1+OTCapPct)*(Cap_Tech*$C225*(1-$I225)))),MAX(0,$J225-((BedsCurrent+BedsAdded)*ShiftHours*$F225/BedHr_M)),MAX(0,$J225*Acuity_M-(ImgBase+ImgExpOn*ImgExpAdd)),MAX(0,$J225-(LabBase+LabExpOn*LabExpAdd)))</f>
        <v>0</v>
      </c>
      <c r="N225" s="11">
        <f ca="1">MAX(MAX(0,($K225*(1+0.5*Acuity_E))-(Model!$G$25*(1+OTCapPct)*(Cap_Doc*$C225*(1-$G225)))),MAX(0,($K225)-(Model!$G$7*(1+OTCapPct)*(Cap_Nurse*$C225*(1-$H225)))),MAX(0,($K225)-(Model!$G$16*(1+OTCapPct)*(Cap_Tech*$C225*(1-$I225)))),MAX(0,$K225-((BedsCurrent+BedsAdded)*ShiftHours*$F225/BedHr_E)),MAX(0,$K225*Acuity_E-(ImgBase+ImgExpOn*ImgExpAdd)),MAX(0,$K225-(LabBase+LabExpOn*LabExpAdd)))</f>
        <v>58</v>
      </c>
      <c r="O225" s="11">
        <f ca="1">MAX(MAX(0,($L225*(1+0.5*Acuity_N))-(Model!$G$26*(1+OTCapPct)*(Cap_Doc*$C225*(1-$G225)))),MAX(0,($L225)-(Model!$G$8*(1+OTCapPct)*(Cap_Nurse*$C225*(1-$H225)))),MAX(0,($L225)-(Model!$G$17*(1+OTCapPct)*(Cap_Tech*$C225*(1-$I225)))),MAX(0,$L225-((BedsCurrent+BedsAdded)*ShiftHours*$F225/BedHr_N)),MAX(0,$L225*Acuity_N-(ImgBase+ImgExpOn*ImgExpAdd)),MAX(0,$L225-(LabBase+LabExpOn*LabExpAdd)))</f>
        <v>17.772906822958475</v>
      </c>
      <c r="P225" s="11">
        <f t="shared" ca="1" si="47"/>
        <v>75.772906822958475</v>
      </c>
      <c r="Q225" s="17">
        <f ca="1">((MIN(OTCapPct*Model!$G$24,MAX(0,(($J225*(1+0.5*Acuity_M))/(Cap_Doc*$C225*(1-$G225)))-Model!$G$24)))*OTCost_Doc)+((MIN(OTCapPct*Model!$G$6,MAX(0,(($J225)/(Cap_Nurse*$C225*(1-$H225)))-Model!$G$6)))*OTCost_Nurse)+((MIN(OTCapPct*Model!$G$15,MAX(0,(($J225)/(Cap_Tech*$C225*(1-$I225)))-Model!$G$15)))*OTCost_Tech)+((MIN(OTCapPct*Model!$G$25,MAX(0,(($K225*(1+0.5*Acuity_E))/(Cap_Doc*$C225*(1-$G225)))-Model!$G$25)))*OTCost_Doc)+((MIN(OTCapPct*Model!$G$7,MAX(0,(($K225)/(Cap_Nurse*$C225*(1-$H225)))-Model!$G$7)))*OTCost_Nurse)+((MIN(OTCapPct*Model!$G$16,MAX(0,(($K225)/(Cap_Tech*$C225*(1-$I225)))-Model!$G$16)))*OTCost_Tech)+((MIN(OTCapPct*Model!$G$26,MAX(0,(($L225*(1+0.5*Acuity_N))/(Cap_Doc*$C225*(1-$G225)))-Model!$G$26)))*OTCost_Doc)+((MIN(OTCapPct*Model!$G$8,MAX(0,(($L225)/(Cap_Nurse*$C225*(1-$H225)))-Model!$G$8)))*OTCost_Nurse)+((MIN(OTCapPct*Model!$G$17,MAX(0,(($L225)/(Cap_Tech*$C225*(1-$I225)))-Model!$G$17)))*OTCost_Tech)</f>
        <v>73260.996653656868</v>
      </c>
    </row>
    <row r="226" spans="1:17" x14ac:dyDescent="0.25">
      <c r="A226" s="11">
        <v>222</v>
      </c>
      <c r="B226" s="11" t="str">
        <f t="shared" ca="1" si="36"/>
        <v>Complex</v>
      </c>
      <c r="C226" s="11">
        <f t="shared" ca="1" si="37"/>
        <v>0.9</v>
      </c>
      <c r="D226" s="11">
        <f t="shared" ca="1" si="38"/>
        <v>0</v>
      </c>
      <c r="E226" s="11">
        <f t="shared" ca="1" si="39"/>
        <v>1</v>
      </c>
      <c r="F226" s="36">
        <f t="shared" ca="1" si="40"/>
        <v>0.91008070264521168</v>
      </c>
      <c r="G226" s="11">
        <f t="shared" ca="1" si="41"/>
        <v>0.14488583472579544</v>
      </c>
      <c r="H226" s="11">
        <f t="shared" ca="1" si="42"/>
        <v>1.9230434661008391E-2</v>
      </c>
      <c r="I226" s="11">
        <f t="shared" ca="1" si="43"/>
        <v>8.0335269876844209E-2</v>
      </c>
      <c r="J226" s="11">
        <f t="shared" ca="1" si="44"/>
        <v>83</v>
      </c>
      <c r="K226" s="11">
        <f t="shared" ca="1" si="45"/>
        <v>124</v>
      </c>
      <c r="L226" s="11">
        <f t="shared" ca="1" si="46"/>
        <v>61</v>
      </c>
      <c r="M226" s="11">
        <f ca="1">MAX(MAX(0,($J226*(1+0.5*Acuity_M))-(Model!$G$24*(1+OTCapPct)*(Cap_Doc*$C226*(1-$G226)))),MAX(0,($J226)-(Model!$G$6*(1+OTCapPct)*(Cap_Nurse*$C226*(1-$H226)))),MAX(0,($J226)-(Model!$G$15*(1+OTCapPct)*(Cap_Tech*$C226*(1-$I226)))),MAX(0,$J226-((BedsCurrent+BedsAdded)*ShiftHours*$F226/BedHr_M)),MAX(0,$J226*Acuity_M-(ImgBase+ImgExpOn*ImgExpAdd)),MAX(0,$J226-(LabBase+LabExpOn*LabExpAdd)))</f>
        <v>5.5496907659867958</v>
      </c>
      <c r="N226" s="11">
        <f ca="1">MAX(MAX(0,($K226*(1+0.5*Acuity_E))-(Model!$G$25*(1+OTCapPct)*(Cap_Doc*$C226*(1-$G226)))),MAX(0,($K226)-(Model!$G$7*(1+OTCapPct)*(Cap_Nurse*$C226*(1-$H226)))),MAX(0,($K226)-(Model!$G$16*(1+OTCapPct)*(Cap_Tech*$C226*(1-$I226)))),MAX(0,$K226-((BedsCurrent+BedsAdded)*ShiftHours*$F226/BedHr_E)),MAX(0,$K226*Acuity_E-(ImgBase+ImgExpOn*ImgExpAdd)),MAX(0,$K226-(LabBase+LabExpOn*LabExpAdd)))</f>
        <v>29</v>
      </c>
      <c r="O226" s="11">
        <f ca="1">MAX(MAX(0,($L226*(1+0.5*Acuity_N))-(Model!$G$26*(1+OTCapPct)*(Cap_Doc*$C226*(1-$G226)))),MAX(0,($L226)-(Model!$G$8*(1+OTCapPct)*(Cap_Nurse*$C226*(1-$H226)))),MAX(0,($L226)-(Model!$G$17*(1+OTCapPct)*(Cap_Tech*$C226*(1-$I226)))),MAX(0,$L226-((BedsCurrent+BedsAdded)*ShiftHours*$F226/BedHr_N)),MAX(0,$L226*Acuity_N-(ImgBase+ImgExpOn*ImgExpAdd)),MAX(0,$L226-(LabBase+LabExpOn*LabExpAdd)))</f>
        <v>0.88575261278943174</v>
      </c>
      <c r="P226" s="11">
        <f t="shared" ca="1" si="47"/>
        <v>35.435443378776228</v>
      </c>
      <c r="Q226" s="17">
        <f ca="1">((MIN(OTCapPct*Model!$G$24,MAX(0,(($J226*(1+0.5*Acuity_M))/(Cap_Doc*$C226*(1-$G226)))-Model!$G$24)))*OTCost_Doc)+((MIN(OTCapPct*Model!$G$6,MAX(0,(($J226)/(Cap_Nurse*$C226*(1-$H226)))-Model!$G$6)))*OTCost_Nurse)+((MIN(OTCapPct*Model!$G$15,MAX(0,(($J226)/(Cap_Tech*$C226*(1-$I226)))-Model!$G$15)))*OTCost_Tech)+((MIN(OTCapPct*Model!$G$25,MAX(0,(($K226*(1+0.5*Acuity_E))/(Cap_Doc*$C226*(1-$G226)))-Model!$G$25)))*OTCost_Doc)+((MIN(OTCapPct*Model!$G$7,MAX(0,(($K226)/(Cap_Nurse*$C226*(1-$H226)))-Model!$G$7)))*OTCost_Nurse)+((MIN(OTCapPct*Model!$G$16,MAX(0,(($K226)/(Cap_Tech*$C226*(1-$I226)))-Model!$G$16)))*OTCost_Tech)+((MIN(OTCapPct*Model!$G$26,MAX(0,(($L226*(1+0.5*Acuity_N))/(Cap_Doc*$C226*(1-$G226)))-Model!$G$26)))*OTCost_Doc)+((MIN(OTCapPct*Model!$G$8,MAX(0,(($L226)/(Cap_Nurse*$C226*(1-$H226)))-Model!$G$8)))*OTCost_Nurse)+((MIN(OTCapPct*Model!$G$17,MAX(0,(($L226)/(Cap_Tech*$C226*(1-$I226)))-Model!$G$17)))*OTCost_Tech)</f>
        <v>77207.956984787277</v>
      </c>
    </row>
    <row r="227" spans="1:17" x14ac:dyDescent="0.25">
      <c r="A227" s="11">
        <v>223</v>
      </c>
      <c r="B227" s="11" t="str">
        <f t="shared" ca="1" si="36"/>
        <v>Complex</v>
      </c>
      <c r="C227" s="11">
        <f t="shared" ca="1" si="37"/>
        <v>0.9</v>
      </c>
      <c r="D227" s="11">
        <f t="shared" ca="1" si="38"/>
        <v>1</v>
      </c>
      <c r="E227" s="11">
        <f t="shared" ca="1" si="39"/>
        <v>1</v>
      </c>
      <c r="F227" s="36">
        <f t="shared" ca="1" si="40"/>
        <v>1.048305517227369</v>
      </c>
      <c r="G227" s="11">
        <f t="shared" ca="1" si="41"/>
        <v>9.3178167101648071E-2</v>
      </c>
      <c r="H227" s="11">
        <f t="shared" ca="1" si="42"/>
        <v>0.10839094626450882</v>
      </c>
      <c r="I227" s="11">
        <f t="shared" ca="1" si="43"/>
        <v>0.10277074972588753</v>
      </c>
      <c r="J227" s="11">
        <f t="shared" ca="1" si="44"/>
        <v>124</v>
      </c>
      <c r="K227" s="11">
        <f t="shared" ca="1" si="45"/>
        <v>103</v>
      </c>
      <c r="L227" s="11">
        <f t="shared" ca="1" si="46"/>
        <v>71</v>
      </c>
      <c r="M227" s="11">
        <f ca="1">MAX(MAX(0,($J227*(1+0.5*Acuity_M))-(Model!$G$24*(1+OTCapPct)*(Cap_Doc*$C227*(1-$G227)))),MAX(0,($J227)-(Model!$G$6*(1+OTCapPct)*(Cap_Nurse*$C227*(1-$H227)))),MAX(0,($J227)-(Model!$G$15*(1+OTCapPct)*(Cap_Tech*$C227*(1-$I227)))),MAX(0,$J227-((BedsCurrent+BedsAdded)*ShiftHours*$F227/BedHr_M)),MAX(0,$J227*Acuity_M-(ImgBase+ImgExpOn*ImgExpAdd)),MAX(0,$J227-(LabBase+LabExpOn*LabExpAdd)))</f>
        <v>45.824289419041889</v>
      </c>
      <c r="N227" s="11">
        <f ca="1">MAX(MAX(0,($K227*(1+0.5*Acuity_E))-(Model!$G$25*(1+OTCapPct)*(Cap_Doc*$C227*(1-$G227)))),MAX(0,($K227)-(Model!$G$7*(1+OTCapPct)*(Cap_Nurse*$C227*(1-$H227)))),MAX(0,($K227)-(Model!$G$16*(1+OTCapPct)*(Cap_Tech*$C227*(1-$I227)))),MAX(0,$K227-((BedsCurrent+BedsAdded)*ShiftHours*$F227/BedHr_E)),MAX(0,$K227*Acuity_E-(ImgBase+ImgExpOn*ImgExpAdd)),MAX(0,$K227-(LabBase+LabExpOn*LabExpAdd)))</f>
        <v>8</v>
      </c>
      <c r="O227" s="11">
        <f ca="1">MAX(MAX(0,($L227*(1+0.5*Acuity_N))-(Model!$G$26*(1+OTCapPct)*(Cap_Doc*$C227*(1-$G227)))),MAX(0,($L227)-(Model!$G$8*(1+OTCapPct)*(Cap_Nurse*$C227*(1-$H227)))),MAX(0,($L227)-(Model!$G$17*(1+OTCapPct)*(Cap_Tech*$C227*(1-$I227)))),MAX(0,$L227-((BedsCurrent+BedsAdded)*ShiftHours*$F227/BedHr_N)),MAX(0,$L227*Acuity_N-(ImgBase+ImgExpOn*ImgExpAdd)),MAX(0,$L227-(LabBase+LabExpOn*LabExpAdd)))</f>
        <v>8.1974315352334912</v>
      </c>
      <c r="P227" s="11">
        <f t="shared" ca="1" si="47"/>
        <v>62.021720954275381</v>
      </c>
      <c r="Q227" s="17">
        <f ca="1">((MIN(OTCapPct*Model!$G$24,MAX(0,(($J227*(1+0.5*Acuity_M))/(Cap_Doc*$C227*(1-$G227)))-Model!$G$24)))*OTCost_Doc)+((MIN(OTCapPct*Model!$G$6,MAX(0,(($J227)/(Cap_Nurse*$C227*(1-$H227)))-Model!$G$6)))*OTCost_Nurse)+((MIN(OTCapPct*Model!$G$15,MAX(0,(($J227)/(Cap_Tech*$C227*(1-$I227)))-Model!$G$15)))*OTCost_Tech)+((MIN(OTCapPct*Model!$G$25,MAX(0,(($K227*(1+0.5*Acuity_E))/(Cap_Doc*$C227*(1-$G227)))-Model!$G$25)))*OTCost_Doc)+((MIN(OTCapPct*Model!$G$7,MAX(0,(($K227)/(Cap_Nurse*$C227*(1-$H227)))-Model!$G$7)))*OTCost_Nurse)+((MIN(OTCapPct*Model!$G$16,MAX(0,(($K227)/(Cap_Tech*$C227*(1-$I227)))-Model!$G$16)))*OTCost_Tech)+((MIN(OTCapPct*Model!$G$26,MAX(0,(($L227*(1+0.5*Acuity_N))/(Cap_Doc*$C227*(1-$G227)))-Model!$G$26)))*OTCost_Doc)+((MIN(OTCapPct*Model!$G$8,MAX(0,(($L227)/(Cap_Nurse*$C227*(1-$H227)))-Model!$G$8)))*OTCost_Nurse)+((MIN(OTCapPct*Model!$G$17,MAX(0,(($L227)/(Cap_Tech*$C227*(1-$I227)))-Model!$G$17)))*OTCost_Tech)</f>
        <v>73616.262677301784</v>
      </c>
    </row>
    <row r="228" spans="1:17" x14ac:dyDescent="0.25">
      <c r="A228" s="11">
        <v>224</v>
      </c>
      <c r="B228" s="11" t="str">
        <f t="shared" ca="1" si="36"/>
        <v>Complex</v>
      </c>
      <c r="C228" s="11">
        <f t="shared" ca="1" si="37"/>
        <v>0.9</v>
      </c>
      <c r="D228" s="11">
        <f t="shared" ca="1" si="38"/>
        <v>1</v>
      </c>
      <c r="E228" s="11">
        <f t="shared" ca="1" si="39"/>
        <v>1</v>
      </c>
      <c r="F228" s="36">
        <f t="shared" ca="1" si="40"/>
        <v>1.0538365525146007</v>
      </c>
      <c r="G228" s="11">
        <f t="shared" ca="1" si="41"/>
        <v>6.8097894248277391E-2</v>
      </c>
      <c r="H228" s="11">
        <f t="shared" ca="1" si="42"/>
        <v>6.6147564880672846E-2</v>
      </c>
      <c r="I228" s="11">
        <f t="shared" ca="1" si="43"/>
        <v>6.1029482017623045E-2</v>
      </c>
      <c r="J228" s="11">
        <f t="shared" ca="1" si="44"/>
        <v>136</v>
      </c>
      <c r="K228" s="11">
        <f t="shared" ca="1" si="45"/>
        <v>119</v>
      </c>
      <c r="L228" s="11">
        <f t="shared" ca="1" si="46"/>
        <v>69</v>
      </c>
      <c r="M228" s="11">
        <f ca="1">MAX(MAX(0,($J228*(1+0.5*Acuity_M))-(Model!$G$24*(1+OTCapPct)*(Cap_Doc*$C228*(1-$G228)))),MAX(0,($J228)-(Model!$G$6*(1+OTCapPct)*(Cap_Nurse*$C228*(1-$H228)))),MAX(0,($J228)-(Model!$G$15*(1+OTCapPct)*(Cap_Tech*$C228*(1-$I228)))),MAX(0,$J228-((BedsCurrent+BedsAdded)*ShiftHours*$F228/BedHr_M)),MAX(0,$J228*Acuity_M-(ImgBase+ImgExpOn*ImgExpAdd)),MAX(0,$J228-(LabBase+LabExpOn*LabExpAdd)))</f>
        <v>56.604911792638092</v>
      </c>
      <c r="N228" s="11">
        <f ca="1">MAX(MAX(0,($K228*(1+0.5*Acuity_E))-(Model!$G$25*(1+OTCapPct)*(Cap_Doc*$C228*(1-$G228)))),MAX(0,($K228)-(Model!$G$7*(1+OTCapPct)*(Cap_Nurse*$C228*(1-$H228)))),MAX(0,($K228)-(Model!$G$16*(1+OTCapPct)*(Cap_Tech*$C228*(1-$I228)))),MAX(0,$K228-((BedsCurrent+BedsAdded)*ShiftHours*$F228/BedHr_E)),MAX(0,$K228*Acuity_E-(ImgBase+ImgExpOn*ImgExpAdd)),MAX(0,$K228-(LabBase+LabExpOn*LabExpAdd)))</f>
        <v>24</v>
      </c>
      <c r="O228" s="11">
        <f ca="1">MAX(MAX(0,($L228*(1+0.5*Acuity_N))-(Model!$G$26*(1+OTCapPct)*(Cap_Doc*$C228*(1-$G228)))),MAX(0,($L228)-(Model!$G$8*(1+OTCapPct)*(Cap_Nurse*$C228*(1-$H228)))),MAX(0,($L228)-(Model!$G$17*(1+OTCapPct)*(Cap_Tech*$C228*(1-$I228)))),MAX(0,$L228-((BedsCurrent+BedsAdded)*ShiftHours*$F228/BedHr_N)),MAX(0,$L228*Acuity_N-(ImgBase+ImgExpOn*ImgExpAdd)),MAX(0,$L228-(LabBase+LabExpOn*LabExpAdd)))</f>
        <v>3.8659294341104555</v>
      </c>
      <c r="P228" s="11">
        <f t="shared" ca="1" si="47"/>
        <v>84.470841226748547</v>
      </c>
      <c r="Q228" s="17">
        <f ca="1">((MIN(OTCapPct*Model!$G$24,MAX(0,(($J228*(1+0.5*Acuity_M))/(Cap_Doc*$C228*(1-$G228)))-Model!$G$24)))*OTCost_Doc)+((MIN(OTCapPct*Model!$G$6,MAX(0,(($J228)/(Cap_Nurse*$C228*(1-$H228)))-Model!$G$6)))*OTCost_Nurse)+((MIN(OTCapPct*Model!$G$15,MAX(0,(($J228)/(Cap_Tech*$C228*(1-$I228)))-Model!$G$15)))*OTCost_Tech)+((MIN(OTCapPct*Model!$G$25,MAX(0,(($K228*(1+0.5*Acuity_E))/(Cap_Doc*$C228*(1-$G228)))-Model!$G$25)))*OTCost_Doc)+((MIN(OTCapPct*Model!$G$7,MAX(0,(($K228)/(Cap_Nurse*$C228*(1-$H228)))-Model!$G$7)))*OTCost_Nurse)+((MIN(OTCapPct*Model!$G$16,MAX(0,(($K228)/(Cap_Tech*$C228*(1-$I228)))-Model!$G$16)))*OTCost_Tech)+((MIN(OTCapPct*Model!$G$26,MAX(0,(($L228*(1+0.5*Acuity_N))/(Cap_Doc*$C228*(1-$G228)))-Model!$G$26)))*OTCost_Doc)+((MIN(OTCapPct*Model!$G$8,MAX(0,(($L228)/(Cap_Nurse*$C228*(1-$H228)))-Model!$G$8)))*OTCost_Nurse)+((MIN(OTCapPct*Model!$G$17,MAX(0,(($L228)/(Cap_Tech*$C228*(1-$I228)))-Model!$G$17)))*OTCost_Tech)</f>
        <v>89757.130277771153</v>
      </c>
    </row>
    <row r="229" spans="1:17" x14ac:dyDescent="0.25">
      <c r="A229" s="11">
        <v>225</v>
      </c>
      <c r="B229" s="11" t="str">
        <f t="shared" ca="1" si="36"/>
        <v>Normal</v>
      </c>
      <c r="C229" s="11">
        <f t="shared" ca="1" si="37"/>
        <v>1</v>
      </c>
      <c r="D229" s="11">
        <f t="shared" ca="1" si="38"/>
        <v>0</v>
      </c>
      <c r="E229" s="11">
        <f t="shared" ca="1" si="39"/>
        <v>1</v>
      </c>
      <c r="F229" s="36">
        <f t="shared" ca="1" si="40"/>
        <v>0.80820350042096456</v>
      </c>
      <c r="G229" s="11">
        <f t="shared" ca="1" si="41"/>
        <v>7.3747508592990008E-2</v>
      </c>
      <c r="H229" s="11">
        <f t="shared" ca="1" si="42"/>
        <v>6.1632835685298322E-2</v>
      </c>
      <c r="I229" s="11">
        <f t="shared" ca="1" si="43"/>
        <v>5.93485542982259E-2</v>
      </c>
      <c r="J229" s="11">
        <f t="shared" ca="1" si="44"/>
        <v>110</v>
      </c>
      <c r="K229" s="11">
        <f t="shared" ca="1" si="45"/>
        <v>130</v>
      </c>
      <c r="L229" s="11">
        <f t="shared" ca="1" si="46"/>
        <v>67</v>
      </c>
      <c r="M229" s="11">
        <f ca="1">MAX(MAX(0,($J229*(1+0.5*Acuity_M))-(Model!$G$24*(1+OTCapPct)*(Cap_Doc*$C229*(1-$G229)))),MAX(0,($J229)-(Model!$G$6*(1+OTCapPct)*(Cap_Nurse*$C229*(1-$H229)))),MAX(0,($J229)-(Model!$G$15*(1+OTCapPct)*(Cap_Tech*$C229*(1-$I229)))),MAX(0,$J229-((BedsCurrent+BedsAdded)*ShiftHours*$F229/BedHr_M)),MAX(0,$J229*Acuity_M-(ImgBase+ImgExpOn*ImgExpAdd)),MAX(0,$J229-(LabBase+LabExpOn*LabExpAdd)))</f>
        <v>17.896594716711391</v>
      </c>
      <c r="N229" s="11">
        <f ca="1">MAX(MAX(0,($K229*(1+0.5*Acuity_E))-(Model!$G$25*(1+OTCapPct)*(Cap_Doc*$C229*(1-$G229)))),MAX(0,($K229)-(Model!$G$7*(1+OTCapPct)*(Cap_Nurse*$C229*(1-$H229)))),MAX(0,($K229)-(Model!$G$16*(1+OTCapPct)*(Cap_Tech*$C229*(1-$I229)))),MAX(0,$K229-((BedsCurrent+BedsAdded)*ShiftHours*$F229/BedHr_E)),MAX(0,$K229*Acuity_E-(ImgBase+ImgExpOn*ImgExpAdd)),MAX(0,$K229-(LabBase+LabExpOn*LabExpAdd)))</f>
        <v>42.067459154199057</v>
      </c>
      <c r="O229" s="11">
        <f ca="1">MAX(MAX(0,($L229*(1+0.5*Acuity_N))-(Model!$G$26*(1+OTCapPct)*(Cap_Doc*$C229*(1-$G229)))),MAX(0,($L229)-(Model!$G$8*(1+OTCapPct)*(Cap_Nurse*$C229*(1-$H229)))),MAX(0,($L229)-(Model!$G$17*(1+OTCapPct)*(Cap_Tech*$C229*(1-$I229)))),MAX(0,$L229-((BedsCurrent+BedsAdded)*ShiftHours*$F229/BedHr_N)),MAX(0,$L229*Acuity_N-(ImgBase+ImgExpOn*ImgExpAdd)),MAX(0,$L229-(LabBase+LabExpOn*LabExpAdd)))</f>
        <v>0</v>
      </c>
      <c r="P229" s="11">
        <f t="shared" ca="1" si="47"/>
        <v>59.964053870910448</v>
      </c>
      <c r="Q229" s="17">
        <f ca="1">((MIN(OTCapPct*Model!$G$24,MAX(0,(($J229*(1+0.5*Acuity_M))/(Cap_Doc*$C229*(1-$G229)))-Model!$G$24)))*OTCost_Doc)+((MIN(OTCapPct*Model!$G$6,MAX(0,(($J229)/(Cap_Nurse*$C229*(1-$H229)))-Model!$G$6)))*OTCost_Nurse)+((MIN(OTCapPct*Model!$G$15,MAX(0,(($J229)/(Cap_Tech*$C229*(1-$I229)))-Model!$G$15)))*OTCost_Tech)+((MIN(OTCapPct*Model!$G$25,MAX(0,(($K229*(1+0.5*Acuity_E))/(Cap_Doc*$C229*(1-$G229)))-Model!$G$25)))*OTCost_Doc)+((MIN(OTCapPct*Model!$G$7,MAX(0,(($K229)/(Cap_Nurse*$C229*(1-$H229)))-Model!$G$7)))*OTCost_Nurse)+((MIN(OTCapPct*Model!$G$16,MAX(0,(($K229)/(Cap_Tech*$C229*(1-$I229)))-Model!$G$16)))*OTCost_Tech)+((MIN(OTCapPct*Model!$G$26,MAX(0,(($L229*(1+0.5*Acuity_N))/(Cap_Doc*$C229*(1-$G229)))-Model!$G$26)))*OTCost_Doc)+((MIN(OTCapPct*Model!$G$8,MAX(0,(($L229)/(Cap_Nurse*$C229*(1-$H229)))-Model!$G$8)))*OTCost_Nurse)+((MIN(OTCapPct*Model!$G$17,MAX(0,(($L229)/(Cap_Tech*$C229*(1-$I229)))-Model!$G$17)))*OTCost_Tech)</f>
        <v>77088.877969784342</v>
      </c>
    </row>
    <row r="230" spans="1:17" x14ac:dyDescent="0.25">
      <c r="A230" s="11">
        <v>226</v>
      </c>
      <c r="B230" s="11" t="str">
        <f t="shared" ca="1" si="36"/>
        <v>Normal</v>
      </c>
      <c r="C230" s="11">
        <f t="shared" ca="1" si="37"/>
        <v>1</v>
      </c>
      <c r="D230" s="11">
        <f t="shared" ca="1" si="38"/>
        <v>0</v>
      </c>
      <c r="E230" s="11">
        <f t="shared" ca="1" si="39"/>
        <v>1</v>
      </c>
      <c r="F230" s="36">
        <f t="shared" ca="1" si="40"/>
        <v>0.84318601220282863</v>
      </c>
      <c r="G230" s="11">
        <f t="shared" ca="1" si="41"/>
        <v>8.1016406352610287E-2</v>
      </c>
      <c r="H230" s="11">
        <f t="shared" ca="1" si="42"/>
        <v>1.0542738857669362E-2</v>
      </c>
      <c r="I230" s="11">
        <f t="shared" ca="1" si="43"/>
        <v>0</v>
      </c>
      <c r="J230" s="11">
        <f t="shared" ca="1" si="44"/>
        <v>63</v>
      </c>
      <c r="K230" s="11">
        <f t="shared" ca="1" si="45"/>
        <v>110</v>
      </c>
      <c r="L230" s="11">
        <f t="shared" ca="1" si="46"/>
        <v>53</v>
      </c>
      <c r="M230" s="11">
        <f ca="1">MAX(MAX(0,($J230*(1+0.5*Acuity_M))-(Model!$G$24*(1+OTCapPct)*(Cap_Doc*$C230*(1-$G230)))),MAX(0,($J230)-(Model!$G$6*(1+OTCapPct)*(Cap_Nurse*$C230*(1-$H230)))),MAX(0,($J230)-(Model!$G$15*(1+OTCapPct)*(Cap_Tech*$C230*(1-$I230)))),MAX(0,$J230-((BedsCurrent+BedsAdded)*ShiftHours*$F230/BedHr_M)),MAX(0,$J230*Acuity_M-(ImgBase+ImgExpOn*ImgExpAdd)),MAX(0,$J230-(LabBase+LabExpOn*LabExpAdd)))</f>
        <v>0</v>
      </c>
      <c r="N230" s="11">
        <f ca="1">MAX(MAX(0,($K230*(1+0.5*Acuity_E))-(Model!$G$25*(1+OTCapPct)*(Cap_Doc*$C230*(1-$G230)))),MAX(0,($K230)-(Model!$G$7*(1+OTCapPct)*(Cap_Nurse*$C230*(1-$H230)))),MAX(0,($K230)-(Model!$G$16*(1+OTCapPct)*(Cap_Tech*$C230*(1-$I230)))),MAX(0,$K230-((BedsCurrent+BedsAdded)*ShiftHours*$F230/BedHr_E)),MAX(0,$K230*Acuity_E-(ImgBase+ImgExpOn*ImgExpAdd)),MAX(0,$K230-(LabBase+LabExpOn*LabExpAdd)))</f>
        <v>18.261361872332245</v>
      </c>
      <c r="O230" s="11">
        <f ca="1">MAX(MAX(0,($L230*(1+0.5*Acuity_N))-(Model!$G$26*(1+OTCapPct)*(Cap_Doc*$C230*(1-$G230)))),MAX(0,($L230)-(Model!$G$8*(1+OTCapPct)*(Cap_Nurse*$C230*(1-$H230)))),MAX(0,($L230)-(Model!$G$17*(1+OTCapPct)*(Cap_Tech*$C230*(1-$I230)))),MAX(0,$L230-((BedsCurrent+BedsAdded)*ShiftHours*$F230/BedHr_N)),MAX(0,$L230*Acuity_N-(ImgBase+ImgExpOn*ImgExpAdd)),MAX(0,$L230-(LabBase+LabExpOn*LabExpAdd)))</f>
        <v>0</v>
      </c>
      <c r="P230" s="11">
        <f t="shared" ca="1" si="47"/>
        <v>18.261361872332245</v>
      </c>
      <c r="Q230" s="17">
        <f ca="1">((MIN(OTCapPct*Model!$G$24,MAX(0,(($J230*(1+0.5*Acuity_M))/(Cap_Doc*$C230*(1-$G230)))-Model!$G$24)))*OTCost_Doc)+((MIN(OTCapPct*Model!$G$6,MAX(0,(($J230)/(Cap_Nurse*$C230*(1-$H230)))-Model!$G$6)))*OTCost_Nurse)+((MIN(OTCapPct*Model!$G$15,MAX(0,(($J230)/(Cap_Tech*$C230*(1-$I230)))-Model!$G$15)))*OTCost_Tech)+((MIN(OTCapPct*Model!$G$25,MAX(0,(($K230*(1+0.5*Acuity_E))/(Cap_Doc*$C230*(1-$G230)))-Model!$G$25)))*OTCost_Doc)+((MIN(OTCapPct*Model!$G$7,MAX(0,(($K230)/(Cap_Nurse*$C230*(1-$H230)))-Model!$G$7)))*OTCost_Nurse)+((MIN(OTCapPct*Model!$G$16,MAX(0,(($K230)/(Cap_Tech*$C230*(1-$I230)))-Model!$G$16)))*OTCost_Tech)+((MIN(OTCapPct*Model!$G$26,MAX(0,(($L230*(1+0.5*Acuity_N))/(Cap_Doc*$C230*(1-$G230)))-Model!$G$26)))*OTCost_Doc)+((MIN(OTCapPct*Model!$G$8,MAX(0,(($L230)/(Cap_Nurse*$C230*(1-$H230)))-Model!$G$8)))*OTCost_Nurse)+((MIN(OTCapPct*Model!$G$17,MAX(0,(($L230)/(Cap_Tech*$C230*(1-$I230)))-Model!$G$17)))*OTCost_Tech)</f>
        <v>7841.3264938945449</v>
      </c>
    </row>
    <row r="231" spans="1:17" x14ac:dyDescent="0.25">
      <c r="A231" s="11">
        <v>227</v>
      </c>
      <c r="B231" s="11" t="str">
        <f t="shared" ca="1" si="36"/>
        <v>Normal</v>
      </c>
      <c r="C231" s="11">
        <f t="shared" ca="1" si="37"/>
        <v>1</v>
      </c>
      <c r="D231" s="11">
        <f t="shared" ca="1" si="38"/>
        <v>0</v>
      </c>
      <c r="E231" s="11">
        <f t="shared" ca="1" si="39"/>
        <v>3</v>
      </c>
      <c r="F231" s="36">
        <f t="shared" ca="1" si="40"/>
        <v>0.88363873106905166</v>
      </c>
      <c r="G231" s="11">
        <f t="shared" ca="1" si="41"/>
        <v>4.7864487363895244E-2</v>
      </c>
      <c r="H231" s="11">
        <f t="shared" ca="1" si="42"/>
        <v>0.10937207992187328</v>
      </c>
      <c r="I231" s="11">
        <f t="shared" ca="1" si="43"/>
        <v>8.7969605477276766E-2</v>
      </c>
      <c r="J231" s="11">
        <f t="shared" ca="1" si="44"/>
        <v>99</v>
      </c>
      <c r="K231" s="11">
        <f t="shared" ca="1" si="45"/>
        <v>147</v>
      </c>
      <c r="L231" s="11">
        <f t="shared" ca="1" si="46"/>
        <v>58</v>
      </c>
      <c r="M231" s="11">
        <f ca="1">MAX(MAX(0,($J231*(1+0.5*Acuity_M))-(Model!$G$24*(1+OTCapPct)*(Cap_Doc*$C231*(1-$G231)))),MAX(0,($J231)-(Model!$G$6*(1+OTCapPct)*(Cap_Nurse*$C231*(1-$H231)))),MAX(0,($J231)-(Model!$G$15*(1+OTCapPct)*(Cap_Tech*$C231*(1-$I231)))),MAX(0,$J231-((BedsCurrent+BedsAdded)*ShiftHours*$F231/BedHr_M)),MAX(0,$J231*Acuity_M-(ImgBase+ImgExpOn*ImgExpAdd)),MAX(0,$J231-(LabBase+LabExpOn*LabExpAdd)))</f>
        <v>5.484068391796697</v>
      </c>
      <c r="N231" s="11">
        <f ca="1">MAX(MAX(0,($K231*(1+0.5*Acuity_E))-(Model!$G$25*(1+OTCapPct)*(Cap_Doc*$C231*(1-$G231)))),MAX(0,($K231)-(Model!$G$7*(1+OTCapPct)*(Cap_Nurse*$C231*(1-$H231)))),MAX(0,($K231)-(Model!$G$16*(1+OTCapPct)*(Cap_Tech*$C231*(1-$I231)))),MAX(0,$K231-((BedsCurrent+BedsAdded)*ShiftHours*$F231/BedHr_E)),MAX(0,$K231*Acuity_E-(ImgBase+ImgExpOn*ImgExpAdd)),MAX(0,$K231-(LabBase+LabExpOn*LabExpAdd)))</f>
        <v>52</v>
      </c>
      <c r="O231" s="11">
        <f ca="1">MAX(MAX(0,($L231*(1+0.5*Acuity_N))-(Model!$G$26*(1+OTCapPct)*(Cap_Doc*$C231*(1-$G231)))),MAX(0,($L231)-(Model!$G$8*(1+OTCapPct)*(Cap_Nurse*$C231*(1-$H231)))),MAX(0,($L231)-(Model!$G$17*(1+OTCapPct)*(Cap_Tech*$C231*(1-$I231)))),MAX(0,$L231-((BedsCurrent+BedsAdded)*ShiftHours*$F231/BedHr_N)),MAX(0,$L231*Acuity_N-(ImgBase+ImgExpOn*ImgExpAdd)),MAX(0,$L231-(LabBase+LabExpOn*LabExpAdd)))</f>
        <v>0</v>
      </c>
      <c r="P231" s="11">
        <f t="shared" ca="1" si="47"/>
        <v>57.484068391796697</v>
      </c>
      <c r="Q231" s="17">
        <f ca="1">((MIN(OTCapPct*Model!$G$24,MAX(0,(($J231*(1+0.5*Acuity_M))/(Cap_Doc*$C231*(1-$G231)))-Model!$G$24)))*OTCost_Doc)+((MIN(OTCapPct*Model!$G$6,MAX(0,(($J231)/(Cap_Nurse*$C231*(1-$H231)))-Model!$G$6)))*OTCost_Nurse)+((MIN(OTCapPct*Model!$G$15,MAX(0,(($J231)/(Cap_Tech*$C231*(1-$I231)))-Model!$G$15)))*OTCost_Tech)+((MIN(OTCapPct*Model!$G$25,MAX(0,(($K231*(1+0.5*Acuity_E))/(Cap_Doc*$C231*(1-$G231)))-Model!$G$25)))*OTCost_Doc)+((MIN(OTCapPct*Model!$G$7,MAX(0,(($K231)/(Cap_Nurse*$C231*(1-$H231)))-Model!$G$7)))*OTCost_Nurse)+((MIN(OTCapPct*Model!$G$16,MAX(0,(($K231)/(Cap_Tech*$C231*(1-$I231)))-Model!$G$16)))*OTCost_Tech)+((MIN(OTCapPct*Model!$G$26,MAX(0,(($L231*(1+0.5*Acuity_N))/(Cap_Doc*$C231*(1-$G231)))-Model!$G$26)))*OTCost_Doc)+((MIN(OTCapPct*Model!$G$8,MAX(0,(($L231)/(Cap_Nurse*$C231*(1-$H231)))-Model!$G$8)))*OTCost_Nurse)+((MIN(OTCapPct*Model!$G$17,MAX(0,(($L231)/(Cap_Tech*$C231*(1-$I231)))-Model!$G$17)))*OTCost_Tech)</f>
        <v>76216.502321734195</v>
      </c>
    </row>
    <row r="232" spans="1:17" x14ac:dyDescent="0.25">
      <c r="A232" s="11">
        <v>228</v>
      </c>
      <c r="B232" s="11" t="str">
        <f t="shared" ca="1" si="36"/>
        <v>Complex</v>
      </c>
      <c r="C232" s="11">
        <f t="shared" ca="1" si="37"/>
        <v>0.9</v>
      </c>
      <c r="D232" s="11">
        <f t="shared" ca="1" si="38"/>
        <v>0</v>
      </c>
      <c r="E232" s="11">
        <f t="shared" ca="1" si="39"/>
        <v>2</v>
      </c>
      <c r="F232" s="36">
        <f t="shared" ca="1" si="40"/>
        <v>0.96370795464108516</v>
      </c>
      <c r="G232" s="11">
        <f t="shared" ca="1" si="41"/>
        <v>4.0558227125339935E-2</v>
      </c>
      <c r="H232" s="11">
        <f t="shared" ca="1" si="42"/>
        <v>0.176166306219843</v>
      </c>
      <c r="I232" s="11">
        <f t="shared" ca="1" si="43"/>
        <v>9.6860617899446583E-2</v>
      </c>
      <c r="J232" s="11">
        <f t="shared" ca="1" si="44"/>
        <v>84</v>
      </c>
      <c r="K232" s="11">
        <f t="shared" ca="1" si="45"/>
        <v>143</v>
      </c>
      <c r="L232" s="11">
        <f t="shared" ca="1" si="46"/>
        <v>50</v>
      </c>
      <c r="M232" s="11">
        <f ca="1">MAX(MAX(0,($J232*(1+0.5*Acuity_M))-(Model!$G$24*(1+OTCapPct)*(Cap_Doc*$C232*(1-$G232)))),MAX(0,($J232)-(Model!$G$6*(1+OTCapPct)*(Cap_Nurse*$C232*(1-$H232)))),MAX(0,($J232)-(Model!$G$15*(1+OTCapPct)*(Cap_Tech*$C232*(1-$I232)))),MAX(0,$J232-((BedsCurrent+BedsAdded)*ShiftHours*$F232/BedHr_M)),MAX(0,$J232*Acuity_M-(ImgBase+ImgExpOn*ImgExpAdd)),MAX(0,$J232-(LabBase+LabExpOn*LabExpAdd)))</f>
        <v>6.1477159377751605</v>
      </c>
      <c r="N232" s="11">
        <f ca="1">MAX(MAX(0,($K232*(1+0.5*Acuity_E))-(Model!$G$25*(1+OTCapPct)*(Cap_Doc*$C232*(1-$G232)))),MAX(0,($K232)-(Model!$G$7*(1+OTCapPct)*(Cap_Nurse*$C232*(1-$H232)))),MAX(0,($K232)-(Model!$G$16*(1+OTCapPct)*(Cap_Tech*$C232*(1-$I232)))),MAX(0,$K232-((BedsCurrent+BedsAdded)*ShiftHours*$F232/BedHr_E)),MAX(0,$K232*Acuity_E-(ImgBase+ImgExpOn*ImgExpAdd)),MAX(0,$K232-(LabBase+LabExpOn*LabExpAdd)))</f>
        <v>48</v>
      </c>
      <c r="O232" s="11">
        <f ca="1">MAX(MAX(0,($L232*(1+0.5*Acuity_N))-(Model!$G$26*(1+OTCapPct)*(Cap_Doc*$C232*(1-$G232)))),MAX(0,($L232)-(Model!$G$8*(1+OTCapPct)*(Cap_Nurse*$C232*(1-$H232)))),MAX(0,($L232)-(Model!$G$17*(1+OTCapPct)*(Cap_Tech*$C232*(1-$I232)))),MAX(0,$L232-((BedsCurrent+BedsAdded)*ShiftHours*$F232/BedHr_N)),MAX(0,$L232*Acuity_N-(ImgBase+ImgExpOn*ImgExpAdd)),MAX(0,$L232-(LabBase+LabExpOn*LabExpAdd)))</f>
        <v>0</v>
      </c>
      <c r="P232" s="11">
        <f t="shared" ca="1" si="47"/>
        <v>54.14771593777516</v>
      </c>
      <c r="Q232" s="17">
        <f ca="1">((MIN(OTCapPct*Model!$G$24,MAX(0,(($J232*(1+0.5*Acuity_M))/(Cap_Doc*$C232*(1-$G232)))-Model!$G$24)))*OTCost_Doc)+((MIN(OTCapPct*Model!$G$6,MAX(0,(($J232)/(Cap_Nurse*$C232*(1-$H232)))-Model!$G$6)))*OTCost_Nurse)+((MIN(OTCapPct*Model!$G$15,MAX(0,(($J232)/(Cap_Tech*$C232*(1-$I232)))-Model!$G$15)))*OTCost_Tech)+((MIN(OTCapPct*Model!$G$25,MAX(0,(($K232*(1+0.5*Acuity_E))/(Cap_Doc*$C232*(1-$G232)))-Model!$G$25)))*OTCost_Doc)+((MIN(OTCapPct*Model!$G$7,MAX(0,(($K232)/(Cap_Nurse*$C232*(1-$H232)))-Model!$G$7)))*OTCost_Nurse)+((MIN(OTCapPct*Model!$G$16,MAX(0,(($K232)/(Cap_Tech*$C232*(1-$I232)))-Model!$G$16)))*OTCost_Tech)+((MIN(OTCapPct*Model!$G$26,MAX(0,(($L232*(1+0.5*Acuity_N))/(Cap_Doc*$C232*(1-$G232)))-Model!$G$26)))*OTCost_Doc)+((MIN(OTCapPct*Model!$G$8,MAX(0,(($L232)/(Cap_Nurse*$C232*(1-$H232)))-Model!$G$8)))*OTCost_Nurse)+((MIN(OTCapPct*Model!$G$17,MAX(0,(($L232)/(Cap_Tech*$C232*(1-$I232)))-Model!$G$17)))*OTCost_Tech)</f>
        <v>71958.461726636378</v>
      </c>
    </row>
    <row r="233" spans="1:17" x14ac:dyDescent="0.25">
      <c r="A233" s="11">
        <v>229</v>
      </c>
      <c r="B233" s="11" t="str">
        <f t="shared" ca="1" si="36"/>
        <v>Normal</v>
      </c>
      <c r="C233" s="11">
        <f t="shared" ca="1" si="37"/>
        <v>1</v>
      </c>
      <c r="D233" s="11">
        <f t="shared" ca="1" si="38"/>
        <v>0</v>
      </c>
      <c r="E233" s="11">
        <f t="shared" ca="1" si="39"/>
        <v>2</v>
      </c>
      <c r="F233" s="36">
        <f t="shared" ca="1" si="40"/>
        <v>0.80417810292139857</v>
      </c>
      <c r="G233" s="11">
        <f t="shared" ca="1" si="41"/>
        <v>7.5832065336541313E-2</v>
      </c>
      <c r="H233" s="11">
        <f t="shared" ca="1" si="42"/>
        <v>0</v>
      </c>
      <c r="I233" s="11">
        <f t="shared" ca="1" si="43"/>
        <v>0</v>
      </c>
      <c r="J233" s="11">
        <f t="shared" ca="1" si="44"/>
        <v>96</v>
      </c>
      <c r="K233" s="11">
        <f t="shared" ca="1" si="45"/>
        <v>126</v>
      </c>
      <c r="L233" s="11">
        <f t="shared" ca="1" si="46"/>
        <v>71</v>
      </c>
      <c r="M233" s="11">
        <f ca="1">MAX(MAX(0,($J233*(1+0.5*Acuity_M))-(Model!$G$24*(1+OTCapPct)*(Cap_Doc*$C233*(1-$G233)))),MAX(0,($J233)-(Model!$G$6*(1+OTCapPct)*(Cap_Nurse*$C233*(1-$H233)))),MAX(0,($J233)-(Model!$G$15*(1+OTCapPct)*(Cap_Tech*$C233*(1-$I233)))),MAX(0,$J233-((BedsCurrent+BedsAdded)*ShiftHours*$F233/BedHr_M)),MAX(0,$J233*Acuity_M-(ImgBase+ImgExpOn*ImgExpAdd)),MAX(0,$J233-(LabBase+LabExpOn*LabExpAdd)))</f>
        <v>2.5911073503608861</v>
      </c>
      <c r="N233" s="11">
        <f ca="1">MAX(MAX(0,($K233*(1+0.5*Acuity_E))-(Model!$G$25*(1+OTCapPct)*(Cap_Doc*$C233*(1-$G233)))),MAX(0,($K233)-(Model!$G$7*(1+OTCapPct)*(Cap_Nurse*$C233*(1-$H233)))),MAX(0,($K233)-(Model!$G$16*(1+OTCapPct)*(Cap_Tech*$C233*(1-$I233)))),MAX(0,$K233-((BedsCurrent+BedsAdded)*ShiftHours*$F233/BedHr_E)),MAX(0,$K233*Acuity_E-(ImgBase+ImgExpOn*ImgExpAdd)),MAX(0,$K233-(LabBase+LabExpOn*LabExpAdd)))</f>
        <v>38.505422402151837</v>
      </c>
      <c r="O233" s="11">
        <f ca="1">MAX(MAX(0,($L233*(1+0.5*Acuity_N))-(Model!$G$26*(1+OTCapPct)*(Cap_Doc*$C233*(1-$G233)))),MAX(0,($L233)-(Model!$G$8*(1+OTCapPct)*(Cap_Nurse*$C233*(1-$H233)))),MAX(0,($L233)-(Model!$G$17*(1+OTCapPct)*(Cap_Tech*$C233*(1-$I233)))),MAX(0,$L233-((BedsCurrent+BedsAdded)*ShiftHours*$F233/BedHr_N)),MAX(0,$L233*Acuity_N-(ImgBase+ImgExpOn*ImgExpAdd)),MAX(0,$L233-(LabBase+LabExpOn*LabExpAdd)))</f>
        <v>0</v>
      </c>
      <c r="P233" s="11">
        <f t="shared" ca="1" si="47"/>
        <v>41.096529752512723</v>
      </c>
      <c r="Q233" s="17">
        <f ca="1">((MIN(OTCapPct*Model!$G$24,MAX(0,(($J233*(1+0.5*Acuity_M))/(Cap_Doc*$C233*(1-$G233)))-Model!$G$24)))*OTCost_Doc)+((MIN(OTCapPct*Model!$G$6,MAX(0,(($J233)/(Cap_Nurse*$C233*(1-$H233)))-Model!$G$6)))*OTCost_Nurse)+((MIN(OTCapPct*Model!$G$15,MAX(0,(($J233)/(Cap_Tech*$C233*(1-$I233)))-Model!$G$15)))*OTCost_Tech)+((MIN(OTCapPct*Model!$G$25,MAX(0,(($K233*(1+0.5*Acuity_E))/(Cap_Doc*$C233*(1-$G233)))-Model!$G$25)))*OTCost_Doc)+((MIN(OTCapPct*Model!$G$7,MAX(0,(($K233)/(Cap_Nurse*$C233*(1-$H233)))-Model!$G$7)))*OTCost_Nurse)+((MIN(OTCapPct*Model!$G$16,MAX(0,(($K233)/(Cap_Tech*$C233*(1-$I233)))-Model!$G$16)))*OTCost_Tech)+((MIN(OTCapPct*Model!$G$26,MAX(0,(($L233*(1+0.5*Acuity_N))/(Cap_Doc*$C233*(1-$G233)))-Model!$G$26)))*OTCost_Doc)+((MIN(OTCapPct*Model!$G$8,MAX(0,(($L233)/(Cap_Nurse*$C233*(1-$H233)))-Model!$G$8)))*OTCost_Nurse)+((MIN(OTCapPct*Model!$G$17,MAX(0,(($L233)/(Cap_Tech*$C233*(1-$I233)))-Model!$G$17)))*OTCost_Tech)</f>
        <v>62957.030481051595</v>
      </c>
    </row>
    <row r="234" spans="1:17" x14ac:dyDescent="0.25">
      <c r="A234" s="11">
        <v>230</v>
      </c>
      <c r="B234" s="11" t="str">
        <f t="shared" ca="1" si="36"/>
        <v>Normal</v>
      </c>
      <c r="C234" s="11">
        <f t="shared" ca="1" si="37"/>
        <v>1</v>
      </c>
      <c r="D234" s="11">
        <f t="shared" ca="1" si="38"/>
        <v>0</v>
      </c>
      <c r="E234" s="11">
        <f t="shared" ca="1" si="39"/>
        <v>1</v>
      </c>
      <c r="F234" s="36">
        <f t="shared" ca="1" si="40"/>
        <v>0.92190427806613218</v>
      </c>
      <c r="G234" s="11">
        <f t="shared" ca="1" si="41"/>
        <v>0</v>
      </c>
      <c r="H234" s="11">
        <f t="shared" ca="1" si="42"/>
        <v>7.3910957950723818E-2</v>
      </c>
      <c r="I234" s="11">
        <f t="shared" ca="1" si="43"/>
        <v>0</v>
      </c>
      <c r="J234" s="11">
        <f t="shared" ca="1" si="44"/>
        <v>89</v>
      </c>
      <c r="K234" s="11">
        <f t="shared" ca="1" si="45"/>
        <v>118</v>
      </c>
      <c r="L234" s="11">
        <f t="shared" ca="1" si="46"/>
        <v>62</v>
      </c>
      <c r="M234" s="11">
        <f ca="1">MAX(MAX(0,($J234*(1+0.5*Acuity_M))-(Model!$G$24*(1+OTCapPct)*(Cap_Doc*$C234*(1-$G234)))),MAX(0,($J234)-(Model!$G$6*(1+OTCapPct)*(Cap_Nurse*$C234*(1-$H234)))),MAX(0,($J234)-(Model!$G$15*(1+OTCapPct)*(Cap_Tech*$C234*(1-$I234)))),MAX(0,$J234-((BedsCurrent+BedsAdded)*ShiftHours*$F234/BedHr_M)),MAX(0,$J234*Acuity_M-(ImgBase+ImgExpOn*ImgExpAdd)),MAX(0,$J234-(LabBase+LabExpOn*LabExpAdd)))</f>
        <v>0</v>
      </c>
      <c r="N234" s="11">
        <f ca="1">MAX(MAX(0,($K234*(1+0.5*Acuity_E))-(Model!$G$25*(1+OTCapPct)*(Cap_Doc*$C234*(1-$G234)))),MAX(0,($K234)-(Model!$G$7*(1+OTCapPct)*(Cap_Nurse*$C234*(1-$H234)))),MAX(0,($K234)-(Model!$G$16*(1+OTCapPct)*(Cap_Tech*$C234*(1-$I234)))),MAX(0,$K234-((BedsCurrent+BedsAdded)*ShiftHours*$F234/BedHr_E)),MAX(0,$K234*Acuity_E-(ImgBase+ImgExpOn*ImgExpAdd)),MAX(0,$K234-(LabBase+LabExpOn*LabExpAdd)))</f>
        <v>23</v>
      </c>
      <c r="O234" s="11">
        <f ca="1">MAX(MAX(0,($L234*(1+0.5*Acuity_N))-(Model!$G$26*(1+OTCapPct)*(Cap_Doc*$C234*(1-$G234)))),MAX(0,($L234)-(Model!$G$8*(1+OTCapPct)*(Cap_Nurse*$C234*(1-$H234)))),MAX(0,($L234)-(Model!$G$17*(1+OTCapPct)*(Cap_Tech*$C234*(1-$I234)))),MAX(0,$L234-((BedsCurrent+BedsAdded)*ShiftHours*$F234/BedHr_N)),MAX(0,$L234*Acuity_N-(ImgBase+ImgExpOn*ImgExpAdd)),MAX(0,$L234-(LabBase+LabExpOn*LabExpAdd)))</f>
        <v>0</v>
      </c>
      <c r="P234" s="11">
        <f t="shared" ca="1" si="47"/>
        <v>23</v>
      </c>
      <c r="Q234" s="17">
        <f ca="1">((MIN(OTCapPct*Model!$G$24,MAX(0,(($J234*(1+0.5*Acuity_M))/(Cap_Doc*$C234*(1-$G234)))-Model!$G$24)))*OTCost_Doc)+((MIN(OTCapPct*Model!$G$6,MAX(0,(($J234)/(Cap_Nurse*$C234*(1-$H234)))-Model!$G$6)))*OTCost_Nurse)+((MIN(OTCapPct*Model!$G$15,MAX(0,(($J234)/(Cap_Tech*$C234*(1-$I234)))-Model!$G$15)))*OTCost_Tech)+((MIN(OTCapPct*Model!$G$25,MAX(0,(($K234*(1+0.5*Acuity_E))/(Cap_Doc*$C234*(1-$G234)))-Model!$G$25)))*OTCost_Doc)+((MIN(OTCapPct*Model!$G$7,MAX(0,(($K234)/(Cap_Nurse*$C234*(1-$H234)))-Model!$G$7)))*OTCost_Nurse)+((MIN(OTCapPct*Model!$G$16,MAX(0,(($K234)/(Cap_Tech*$C234*(1-$I234)))-Model!$G$16)))*OTCost_Tech)+((MIN(OTCapPct*Model!$G$26,MAX(0,(($L234*(1+0.5*Acuity_N))/(Cap_Doc*$C234*(1-$G234)))-Model!$G$26)))*OTCost_Doc)+((MIN(OTCapPct*Model!$G$8,MAX(0,(($L234)/(Cap_Nurse*$C234*(1-$H234)))-Model!$G$8)))*OTCost_Nurse)+((MIN(OTCapPct*Model!$G$17,MAX(0,(($L234)/(Cap_Tech*$C234*(1-$I234)))-Model!$G$17)))*OTCost_Tech)</f>
        <v>23556.171006717246</v>
      </c>
    </row>
    <row r="235" spans="1:17" x14ac:dyDescent="0.25">
      <c r="A235" s="11">
        <v>231</v>
      </c>
      <c r="B235" s="11" t="str">
        <f t="shared" ca="1" si="36"/>
        <v>Severe</v>
      </c>
      <c r="C235" s="11">
        <f t="shared" ca="1" si="37"/>
        <v>0.8</v>
      </c>
      <c r="D235" s="11">
        <f t="shared" ca="1" si="38"/>
        <v>0</v>
      </c>
      <c r="E235" s="11">
        <f t="shared" ca="1" si="39"/>
        <v>3</v>
      </c>
      <c r="F235" s="36">
        <f t="shared" ca="1" si="40"/>
        <v>0.91407901621094967</v>
      </c>
      <c r="G235" s="11">
        <f t="shared" ca="1" si="41"/>
        <v>2.6027692972306844E-2</v>
      </c>
      <c r="H235" s="11">
        <f t="shared" ca="1" si="42"/>
        <v>2.4071157833581991E-3</v>
      </c>
      <c r="I235" s="11">
        <f t="shared" ca="1" si="43"/>
        <v>0</v>
      </c>
      <c r="J235" s="11">
        <f t="shared" ca="1" si="44"/>
        <v>62</v>
      </c>
      <c r="K235" s="11">
        <f t="shared" ca="1" si="45"/>
        <v>102</v>
      </c>
      <c r="L235" s="11">
        <f t="shared" ca="1" si="46"/>
        <v>55</v>
      </c>
      <c r="M235" s="11">
        <f ca="1">MAX(MAX(0,($J235*(1+0.5*Acuity_M))-(Model!$G$24*(1+OTCapPct)*(Cap_Doc*$C235*(1-$G235)))),MAX(0,($J235)-(Model!$G$6*(1+OTCapPct)*(Cap_Nurse*$C235*(1-$H235)))),MAX(0,($J235)-(Model!$G$15*(1+OTCapPct)*(Cap_Tech*$C235*(1-$I235)))),MAX(0,$J235-((BedsCurrent+BedsAdded)*ShiftHours*$F235/BedHr_M)),MAX(0,$J235*Acuity_M-(ImgBase+ImgExpOn*ImgExpAdd)),MAX(0,$J235-(LabBase+LabExpOn*LabExpAdd)))</f>
        <v>0</v>
      </c>
      <c r="N235" s="11">
        <f ca="1">MAX(MAX(0,($K235*(1+0.5*Acuity_E))-(Model!$G$25*(1+OTCapPct)*(Cap_Doc*$C235*(1-$G235)))),MAX(0,($K235)-(Model!$G$7*(1+OTCapPct)*(Cap_Nurse*$C235*(1-$H235)))),MAX(0,($K235)-(Model!$G$16*(1+OTCapPct)*(Cap_Tech*$C235*(1-$I235)))),MAX(0,$K235-((BedsCurrent+BedsAdded)*ShiftHours*$F235/BedHr_E)),MAX(0,$K235*Acuity_E-(ImgBase+ImgExpOn*ImgExpAdd)),MAX(0,$K235-(LabBase+LabExpOn*LabExpAdd)))</f>
        <v>7</v>
      </c>
      <c r="O235" s="11">
        <f ca="1">MAX(MAX(0,($L235*(1+0.5*Acuity_N))-(Model!$G$26*(1+OTCapPct)*(Cap_Doc*$C235*(1-$G235)))),MAX(0,($L235)-(Model!$G$8*(1+OTCapPct)*(Cap_Nurse*$C235*(1-$H235)))),MAX(0,($L235)-(Model!$G$17*(1+OTCapPct)*(Cap_Tech*$C235*(1-$I235)))),MAX(0,$L235-((BedsCurrent+BedsAdded)*ShiftHours*$F235/BedHr_N)),MAX(0,$L235*Acuity_N-(ImgBase+ImgExpOn*ImgExpAdd)),MAX(0,$L235-(LabBase+LabExpOn*LabExpAdd)))</f>
        <v>0</v>
      </c>
      <c r="P235" s="11">
        <f t="shared" ca="1" si="47"/>
        <v>7</v>
      </c>
      <c r="Q235" s="17">
        <f ca="1">((MIN(OTCapPct*Model!$G$24,MAX(0,(($J235*(1+0.5*Acuity_M))/(Cap_Doc*$C235*(1-$G235)))-Model!$G$24)))*OTCost_Doc)+((MIN(OTCapPct*Model!$G$6,MAX(0,(($J235)/(Cap_Nurse*$C235*(1-$H235)))-Model!$G$6)))*OTCost_Nurse)+((MIN(OTCapPct*Model!$G$15,MAX(0,(($J235)/(Cap_Tech*$C235*(1-$I235)))-Model!$G$15)))*OTCost_Tech)+((MIN(OTCapPct*Model!$G$25,MAX(0,(($K235*(1+0.5*Acuity_E))/(Cap_Doc*$C235*(1-$G235)))-Model!$G$25)))*OTCost_Doc)+((MIN(OTCapPct*Model!$G$7,MAX(0,(($K235)/(Cap_Nurse*$C235*(1-$H235)))-Model!$G$7)))*OTCost_Nurse)+((MIN(OTCapPct*Model!$G$16,MAX(0,(($K235)/(Cap_Tech*$C235*(1-$I235)))-Model!$G$16)))*OTCost_Tech)+((MIN(OTCapPct*Model!$G$26,MAX(0,(($L235*(1+0.5*Acuity_N))/(Cap_Doc*$C235*(1-$G235)))-Model!$G$26)))*OTCost_Doc)+((MIN(OTCapPct*Model!$G$8,MAX(0,(($L235)/(Cap_Nurse*$C235*(1-$H235)))-Model!$G$8)))*OTCost_Nurse)+((MIN(OTCapPct*Model!$G$17,MAX(0,(($L235)/(Cap_Tech*$C235*(1-$I235)))-Model!$G$17)))*OTCost_Tech)</f>
        <v>29786.288910310057</v>
      </c>
    </row>
    <row r="236" spans="1:17" x14ac:dyDescent="0.25">
      <c r="A236" s="11">
        <v>232</v>
      </c>
      <c r="B236" s="11" t="str">
        <f t="shared" ca="1" si="36"/>
        <v>Complex</v>
      </c>
      <c r="C236" s="11">
        <f t="shared" ca="1" si="37"/>
        <v>0.9</v>
      </c>
      <c r="D236" s="11">
        <f t="shared" ca="1" si="38"/>
        <v>1</v>
      </c>
      <c r="E236" s="11">
        <f t="shared" ca="1" si="39"/>
        <v>1</v>
      </c>
      <c r="F236" s="36">
        <f t="shared" ca="1" si="40"/>
        <v>1.0002693797717022</v>
      </c>
      <c r="G236" s="11">
        <f t="shared" ca="1" si="41"/>
        <v>9.0548273699174557E-3</v>
      </c>
      <c r="H236" s="11">
        <f t="shared" ca="1" si="42"/>
        <v>0</v>
      </c>
      <c r="I236" s="11">
        <f t="shared" ca="1" si="43"/>
        <v>5.4968263691395999E-2</v>
      </c>
      <c r="J236" s="11">
        <f t="shared" ca="1" si="44"/>
        <v>90</v>
      </c>
      <c r="K236" s="11">
        <f t="shared" ca="1" si="45"/>
        <v>154</v>
      </c>
      <c r="L236" s="11">
        <f t="shared" ca="1" si="46"/>
        <v>62</v>
      </c>
      <c r="M236" s="11">
        <f ca="1">MAX(MAX(0,($J236*(1+0.5*Acuity_M))-(Model!$G$24*(1+OTCapPct)*(Cap_Doc*$C236*(1-$G236)))),MAX(0,($J236)-(Model!$G$6*(1+OTCapPct)*(Cap_Nurse*$C236*(1-$H236)))),MAX(0,($J236)-(Model!$G$15*(1+OTCapPct)*(Cap_Tech*$C236*(1-$I236)))),MAX(0,$J236-((BedsCurrent+BedsAdded)*ShiftHours*$F236/BedHr_M)),MAX(0,$J236*Acuity_M-(ImgBase+ImgExpOn*ImgExpAdd)),MAX(0,$J236-(LabBase+LabExpOn*LabExpAdd)))</f>
        <v>0</v>
      </c>
      <c r="N236" s="11">
        <f ca="1">MAX(MAX(0,($K236*(1+0.5*Acuity_E))-(Model!$G$25*(1+OTCapPct)*(Cap_Doc*$C236*(1-$G236)))),MAX(0,($K236)-(Model!$G$7*(1+OTCapPct)*(Cap_Nurse*$C236*(1-$H236)))),MAX(0,($K236)-(Model!$G$16*(1+OTCapPct)*(Cap_Tech*$C236*(1-$I236)))),MAX(0,$K236-((BedsCurrent+BedsAdded)*ShiftHours*$F236/BedHr_E)),MAX(0,$K236*Acuity_E-(ImgBase+ImgExpOn*ImgExpAdd)),MAX(0,$K236-(LabBase+LabExpOn*LabExpAdd)))</f>
        <v>59</v>
      </c>
      <c r="O236" s="11">
        <f ca="1">MAX(MAX(0,($L236*(1+0.5*Acuity_N))-(Model!$G$26*(1+OTCapPct)*(Cap_Doc*$C236*(1-$G236)))),MAX(0,($L236)-(Model!$G$8*(1+OTCapPct)*(Cap_Nurse*$C236*(1-$H236)))),MAX(0,($L236)-(Model!$G$17*(1+OTCapPct)*(Cap_Tech*$C236*(1-$I236)))),MAX(0,$L236-((BedsCurrent+BedsAdded)*ShiftHours*$F236/BedHr_N)),MAX(0,$L236*Acuity_N-(ImgBase+ImgExpOn*ImgExpAdd)),MAX(0,$L236-(LabBase+LabExpOn*LabExpAdd)))</f>
        <v>0</v>
      </c>
      <c r="P236" s="11">
        <f t="shared" ca="1" si="47"/>
        <v>59</v>
      </c>
      <c r="Q236" s="17">
        <f ca="1">((MIN(OTCapPct*Model!$G$24,MAX(0,(($J236*(1+0.5*Acuity_M))/(Cap_Doc*$C236*(1-$G236)))-Model!$G$24)))*OTCost_Doc)+((MIN(OTCapPct*Model!$G$6,MAX(0,(($J236)/(Cap_Nurse*$C236*(1-$H236)))-Model!$G$6)))*OTCost_Nurse)+((MIN(OTCapPct*Model!$G$15,MAX(0,(($J236)/(Cap_Tech*$C236*(1-$I236)))-Model!$G$15)))*OTCost_Tech)+((MIN(OTCapPct*Model!$G$25,MAX(0,(($K236*(1+0.5*Acuity_E))/(Cap_Doc*$C236*(1-$G236)))-Model!$G$25)))*OTCost_Doc)+((MIN(OTCapPct*Model!$G$7,MAX(0,(($K236)/(Cap_Nurse*$C236*(1-$H236)))-Model!$G$7)))*OTCost_Nurse)+((MIN(OTCapPct*Model!$G$16,MAX(0,(($K236)/(Cap_Tech*$C236*(1-$I236)))-Model!$G$16)))*OTCost_Tech)+((MIN(OTCapPct*Model!$G$26,MAX(0,(($L236*(1+0.5*Acuity_N))/(Cap_Doc*$C236*(1-$G236)))-Model!$G$26)))*OTCost_Doc)+((MIN(OTCapPct*Model!$G$8,MAX(0,(($L236)/(Cap_Nurse*$C236*(1-$H236)))-Model!$G$8)))*OTCost_Nurse)+((MIN(OTCapPct*Model!$G$17,MAX(0,(($L236)/(Cap_Tech*$C236*(1-$I236)))-Model!$G$17)))*OTCost_Tech)</f>
        <v>78648.051504665244</v>
      </c>
    </row>
    <row r="237" spans="1:17" x14ac:dyDescent="0.25">
      <c r="A237" s="11">
        <v>233</v>
      </c>
      <c r="B237" s="11" t="str">
        <f t="shared" ca="1" si="36"/>
        <v>Normal</v>
      </c>
      <c r="C237" s="11">
        <f t="shared" ca="1" si="37"/>
        <v>1</v>
      </c>
      <c r="D237" s="11">
        <f t="shared" ca="1" si="38"/>
        <v>0</v>
      </c>
      <c r="E237" s="11">
        <f t="shared" ca="1" si="39"/>
        <v>1</v>
      </c>
      <c r="F237" s="36">
        <f t="shared" ca="1" si="40"/>
        <v>0.86604468253200162</v>
      </c>
      <c r="G237" s="11">
        <f t="shared" ca="1" si="41"/>
        <v>7.2474656828311695E-2</v>
      </c>
      <c r="H237" s="11">
        <f t="shared" ca="1" si="42"/>
        <v>9.1205425708460824E-2</v>
      </c>
      <c r="I237" s="11">
        <f t="shared" ca="1" si="43"/>
        <v>6.4827742415669465E-2</v>
      </c>
      <c r="J237" s="11">
        <f t="shared" ca="1" si="44"/>
        <v>98</v>
      </c>
      <c r="K237" s="11">
        <f t="shared" ca="1" si="45"/>
        <v>108</v>
      </c>
      <c r="L237" s="11">
        <f t="shared" ca="1" si="46"/>
        <v>70</v>
      </c>
      <c r="M237" s="11">
        <f ca="1">MAX(MAX(0,($J237*(1+0.5*Acuity_M))-(Model!$G$24*(1+OTCapPct)*(Cap_Doc*$C237*(1-$G237)))),MAX(0,($J237)-(Model!$G$6*(1+OTCapPct)*(Cap_Nurse*$C237*(1-$H237)))),MAX(0,($J237)-(Model!$G$15*(1+OTCapPct)*(Cap_Tech*$C237*(1-$I237)))),MAX(0,$J237-((BedsCurrent+BedsAdded)*ShiftHours*$F237/BedHr_M)),MAX(0,$J237*Acuity_M-(ImgBase+ImgExpOn*ImgExpAdd)),MAX(0,$J237-(LabBase+LabExpOn*LabExpAdd)))</f>
        <v>4.4333988931850854</v>
      </c>
      <c r="N237" s="11">
        <f ca="1">MAX(MAX(0,($K237*(1+0.5*Acuity_E))-(Model!$G$25*(1+OTCapPct)*(Cap_Doc*$C237*(1-$G237)))),MAX(0,($K237)-(Model!$G$7*(1+OTCapPct)*(Cap_Nurse*$C237*(1-$H237)))),MAX(0,($K237)-(Model!$G$16*(1+OTCapPct)*(Cap_Tech*$C237*(1-$I237)))),MAX(0,$K237-((BedsCurrent+BedsAdded)*ShiftHours*$F237/BedHr_E)),MAX(0,$K237*Acuity_E-(ImgBase+ImgExpOn*ImgExpAdd)),MAX(0,$K237-(LabBase+LabExpOn*LabExpAdd)))</f>
        <v>13.774338540518229</v>
      </c>
      <c r="O237" s="11">
        <f ca="1">MAX(MAX(0,($L237*(1+0.5*Acuity_N))-(Model!$G$26*(1+OTCapPct)*(Cap_Doc*$C237*(1-$G237)))),MAX(0,($L237)-(Model!$G$8*(1+OTCapPct)*(Cap_Nurse*$C237*(1-$H237)))),MAX(0,($L237)-(Model!$G$17*(1+OTCapPct)*(Cap_Tech*$C237*(1-$I237)))),MAX(0,$L237-((BedsCurrent+BedsAdded)*ShiftHours*$F237/BedHr_N)),MAX(0,$L237*Acuity_N-(ImgBase+ImgExpOn*ImgExpAdd)),MAX(0,$L237-(LabBase+LabExpOn*LabExpAdd)))</f>
        <v>0</v>
      </c>
      <c r="P237" s="11">
        <f t="shared" ca="1" si="47"/>
        <v>18.207737433703315</v>
      </c>
      <c r="Q237" s="17">
        <f ca="1">((MIN(OTCapPct*Model!$G$24,MAX(0,(($J237*(1+0.5*Acuity_M))/(Cap_Doc*$C237*(1-$G237)))-Model!$G$24)))*OTCost_Doc)+((MIN(OTCapPct*Model!$G$6,MAX(0,(($J237)/(Cap_Nurse*$C237*(1-$H237)))-Model!$G$6)))*OTCost_Nurse)+((MIN(OTCapPct*Model!$G$15,MAX(0,(($J237)/(Cap_Tech*$C237*(1-$I237)))-Model!$G$15)))*OTCost_Tech)+((MIN(OTCapPct*Model!$G$25,MAX(0,(($K237*(1+0.5*Acuity_E))/(Cap_Doc*$C237*(1-$G237)))-Model!$G$25)))*OTCost_Doc)+((MIN(OTCapPct*Model!$G$7,MAX(0,(($K237)/(Cap_Nurse*$C237*(1-$H237)))-Model!$G$7)))*OTCost_Nurse)+((MIN(OTCapPct*Model!$G$16,MAX(0,(($K237)/(Cap_Tech*$C237*(1-$I237)))-Model!$G$16)))*OTCost_Tech)+((MIN(OTCapPct*Model!$G$26,MAX(0,(($L237*(1+0.5*Acuity_N))/(Cap_Doc*$C237*(1-$G237)))-Model!$G$26)))*OTCost_Doc)+((MIN(OTCapPct*Model!$G$8,MAX(0,(($L237)/(Cap_Nurse*$C237*(1-$H237)))-Model!$G$8)))*OTCost_Nurse)+((MIN(OTCapPct*Model!$G$17,MAX(0,(($L237)/(Cap_Tech*$C237*(1-$I237)))-Model!$G$17)))*OTCost_Tech)</f>
        <v>49585.313571790801</v>
      </c>
    </row>
    <row r="238" spans="1:17" x14ac:dyDescent="0.25">
      <c r="A238" s="11">
        <v>234</v>
      </c>
      <c r="B238" s="11" t="str">
        <f t="shared" ca="1" si="36"/>
        <v>Complex</v>
      </c>
      <c r="C238" s="11">
        <f t="shared" ca="1" si="37"/>
        <v>0.9</v>
      </c>
      <c r="D238" s="11">
        <f t="shared" ca="1" si="38"/>
        <v>0</v>
      </c>
      <c r="E238" s="11">
        <f t="shared" ca="1" si="39"/>
        <v>1</v>
      </c>
      <c r="F238" s="36">
        <f t="shared" ca="1" si="40"/>
        <v>0.92015904001736692</v>
      </c>
      <c r="G238" s="11">
        <f t="shared" ca="1" si="41"/>
        <v>3.2028444336168138E-2</v>
      </c>
      <c r="H238" s="11">
        <f t="shared" ca="1" si="42"/>
        <v>5.4110147395085122E-2</v>
      </c>
      <c r="I238" s="11">
        <f t="shared" ca="1" si="43"/>
        <v>6.0821697975029537E-2</v>
      </c>
      <c r="J238" s="11">
        <f t="shared" ca="1" si="44"/>
        <v>101</v>
      </c>
      <c r="K238" s="11">
        <f t="shared" ca="1" si="45"/>
        <v>102</v>
      </c>
      <c r="L238" s="11">
        <f t="shared" ca="1" si="46"/>
        <v>77</v>
      </c>
      <c r="M238" s="11">
        <f ca="1">MAX(MAX(0,($J238*(1+0.5*Acuity_M))-(Model!$G$24*(1+OTCapPct)*(Cap_Doc*$C238*(1-$G238)))),MAX(0,($J238)-(Model!$G$6*(1+OTCapPct)*(Cap_Nurse*$C238*(1-$H238)))),MAX(0,($J238)-(Model!$G$15*(1+OTCapPct)*(Cap_Tech*$C238*(1-$I238)))),MAX(0,$J238-((BedsCurrent+BedsAdded)*ShiftHours*$F238/BedHr_M)),MAX(0,$J238*Acuity_M-(ImgBase+ImgExpOn*ImgExpAdd)),MAX(0,$J238-(LabBase+LabExpOn*LabExpAdd)))</f>
        <v>14.102879989037049</v>
      </c>
      <c r="N238" s="11">
        <f ca="1">MAX(MAX(0,($K238*(1+0.5*Acuity_E))-(Model!$G$25*(1+OTCapPct)*(Cap_Doc*$C238*(1-$G238)))),MAX(0,($K238)-(Model!$G$7*(1+OTCapPct)*(Cap_Nurse*$C238*(1-$H238)))),MAX(0,($K238)-(Model!$G$16*(1+OTCapPct)*(Cap_Tech*$C238*(1-$I238)))),MAX(0,$K238-((BedsCurrent+BedsAdded)*ShiftHours*$F238/BedHr_E)),MAX(0,$K238*Acuity_E-(ImgBase+ImgExpOn*ImgExpAdd)),MAX(0,$K238-(LabBase+LabExpOn*LabExpAdd)))</f>
        <v>7</v>
      </c>
      <c r="O238" s="11">
        <f ca="1">MAX(MAX(0,($L238*(1+0.5*Acuity_N))-(Model!$G$26*(1+OTCapPct)*(Cap_Doc*$C238*(1-$G238)))),MAX(0,($L238)-(Model!$G$8*(1+OTCapPct)*(Cap_Nurse*$C238*(1-$H238)))),MAX(0,($L238)-(Model!$G$17*(1+OTCapPct)*(Cap_Tech*$C238*(1-$I238)))),MAX(0,$L238-((BedsCurrent+BedsAdded)*ShiftHours*$F238/BedHr_N)),MAX(0,$L238*Acuity_N-(ImgBase+ImgExpOn*ImgExpAdd)),MAX(0,$L238-(LabBase+LabExpOn*LabExpAdd)))</f>
        <v>10.14430399122962</v>
      </c>
      <c r="P238" s="11">
        <f t="shared" ca="1" si="47"/>
        <v>31.247183980266669</v>
      </c>
      <c r="Q238" s="17">
        <f ca="1">((MIN(OTCapPct*Model!$G$24,MAX(0,(($J238*(1+0.5*Acuity_M))/(Cap_Doc*$C238*(1-$G238)))-Model!$G$24)))*OTCost_Doc)+((MIN(OTCapPct*Model!$G$6,MAX(0,(($J238)/(Cap_Nurse*$C238*(1-$H238)))-Model!$G$6)))*OTCost_Nurse)+((MIN(OTCapPct*Model!$G$15,MAX(0,(($J238)/(Cap_Tech*$C238*(1-$I238)))-Model!$G$15)))*OTCost_Tech)+((MIN(OTCapPct*Model!$G$25,MAX(0,(($K238*(1+0.5*Acuity_E))/(Cap_Doc*$C238*(1-$G238)))-Model!$G$25)))*OTCost_Doc)+((MIN(OTCapPct*Model!$G$7,MAX(0,(($K238)/(Cap_Nurse*$C238*(1-$H238)))-Model!$G$7)))*OTCost_Nurse)+((MIN(OTCapPct*Model!$G$16,MAX(0,(($K238)/(Cap_Tech*$C238*(1-$I238)))-Model!$G$16)))*OTCost_Tech)+((MIN(OTCapPct*Model!$G$26,MAX(0,(($L238*(1+0.5*Acuity_N))/(Cap_Doc*$C238*(1-$G238)))-Model!$G$26)))*OTCost_Doc)+((MIN(OTCapPct*Model!$G$8,MAX(0,(($L238)/(Cap_Nurse*$C238*(1-$H238)))-Model!$G$8)))*OTCost_Nurse)+((MIN(OTCapPct*Model!$G$17,MAX(0,(($L238)/(Cap_Tech*$C238*(1-$I238)))-Model!$G$17)))*OTCost_Tech)</f>
        <v>61151.087634327341</v>
      </c>
    </row>
    <row r="239" spans="1:17" x14ac:dyDescent="0.25">
      <c r="A239" s="11">
        <v>235</v>
      </c>
      <c r="B239" s="11" t="str">
        <f t="shared" ca="1" si="36"/>
        <v>Normal</v>
      </c>
      <c r="C239" s="11">
        <f t="shared" ca="1" si="37"/>
        <v>1</v>
      </c>
      <c r="D239" s="11">
        <f t="shared" ca="1" si="38"/>
        <v>0</v>
      </c>
      <c r="E239" s="11">
        <f t="shared" ca="1" si="39"/>
        <v>1</v>
      </c>
      <c r="F239" s="36">
        <f t="shared" ca="1" si="40"/>
        <v>1.1646397925857217</v>
      </c>
      <c r="G239" s="11">
        <f t="shared" ca="1" si="41"/>
        <v>4.8793025251287113E-2</v>
      </c>
      <c r="H239" s="11">
        <f t="shared" ca="1" si="42"/>
        <v>6.8687950261538386E-2</v>
      </c>
      <c r="I239" s="11">
        <f t="shared" ca="1" si="43"/>
        <v>0.12210775344715839</v>
      </c>
      <c r="J239" s="11">
        <f t="shared" ca="1" si="44"/>
        <v>80</v>
      </c>
      <c r="K239" s="11">
        <f t="shared" ca="1" si="45"/>
        <v>123</v>
      </c>
      <c r="L239" s="11">
        <f t="shared" ca="1" si="46"/>
        <v>71</v>
      </c>
      <c r="M239" s="11">
        <f ca="1">MAX(MAX(0,($J239*(1+0.5*Acuity_M))-(Model!$G$24*(1+OTCapPct)*(Cap_Doc*$C239*(1-$G239)))),MAX(0,($J239)-(Model!$G$6*(1+OTCapPct)*(Cap_Nurse*$C239*(1-$H239)))),MAX(0,($J239)-(Model!$G$15*(1+OTCapPct)*(Cap_Tech*$C239*(1-$I239)))),MAX(0,$J239-((BedsCurrent+BedsAdded)*ShiftHours*$F239/BedHr_M)),MAX(0,$J239*Acuity_M-(ImgBase+ImgExpOn*ImgExpAdd)),MAX(0,$J239-(LabBase+LabExpOn*LabExpAdd)))</f>
        <v>0</v>
      </c>
      <c r="N239" s="11">
        <f ca="1">MAX(MAX(0,($K239*(1+0.5*Acuity_E))-(Model!$G$25*(1+OTCapPct)*(Cap_Doc*$C239*(1-$G239)))),MAX(0,($K239)-(Model!$G$7*(1+OTCapPct)*(Cap_Nurse*$C239*(1-$H239)))),MAX(0,($K239)-(Model!$G$16*(1+OTCapPct)*(Cap_Tech*$C239*(1-$I239)))),MAX(0,$K239-((BedsCurrent+BedsAdded)*ShiftHours*$F239/BedHr_E)),MAX(0,$K239*Acuity_E-(ImgBase+ImgExpOn*ImgExpAdd)),MAX(0,$K239-(LabBase+LabExpOn*LabExpAdd)))</f>
        <v>28</v>
      </c>
      <c r="O239" s="11">
        <f ca="1">MAX(MAX(0,($L239*(1+0.5*Acuity_N))-(Model!$G$26*(1+OTCapPct)*(Cap_Doc*$C239*(1-$G239)))),MAX(0,($L239)-(Model!$G$8*(1+OTCapPct)*(Cap_Nurse*$C239*(1-$H239)))),MAX(0,($L239)-(Model!$G$17*(1+OTCapPct)*(Cap_Tech*$C239*(1-$I239)))),MAX(0,$L239-((BedsCurrent+BedsAdded)*ShiftHours*$F239/BedHr_N)),MAX(0,$L239*Acuity_N-(ImgBase+ImgExpOn*ImgExpAdd)),MAX(0,$L239-(LabBase+LabExpOn*LabExpAdd)))</f>
        <v>0</v>
      </c>
      <c r="P239" s="11">
        <f t="shared" ca="1" si="47"/>
        <v>28</v>
      </c>
      <c r="Q239" s="17">
        <f ca="1">((MIN(OTCapPct*Model!$G$24,MAX(0,(($J239*(1+0.5*Acuity_M))/(Cap_Doc*$C239*(1-$G239)))-Model!$G$24)))*OTCost_Doc)+((MIN(OTCapPct*Model!$G$6,MAX(0,(($J239)/(Cap_Nurse*$C239*(1-$H239)))-Model!$G$6)))*OTCost_Nurse)+((MIN(OTCapPct*Model!$G$15,MAX(0,(($J239)/(Cap_Tech*$C239*(1-$I239)))-Model!$G$15)))*OTCost_Tech)+((MIN(OTCapPct*Model!$G$25,MAX(0,(($K239*(1+0.5*Acuity_E))/(Cap_Doc*$C239*(1-$G239)))-Model!$G$25)))*OTCost_Doc)+((MIN(OTCapPct*Model!$G$7,MAX(0,(($K239)/(Cap_Nurse*$C239*(1-$H239)))-Model!$G$7)))*OTCost_Nurse)+((MIN(OTCapPct*Model!$G$16,MAX(0,(($K239)/(Cap_Tech*$C239*(1-$I239)))-Model!$G$16)))*OTCost_Tech)+((MIN(OTCapPct*Model!$G$26,MAX(0,(($L239*(1+0.5*Acuity_N))/(Cap_Doc*$C239*(1-$G239)))-Model!$G$26)))*OTCost_Doc)+((MIN(OTCapPct*Model!$G$8,MAX(0,(($L239)/(Cap_Nurse*$C239*(1-$H239)))-Model!$G$8)))*OTCost_Nurse)+((MIN(OTCapPct*Model!$G$17,MAX(0,(($L239)/(Cap_Tech*$C239*(1-$I239)))-Model!$G$17)))*OTCost_Tech)</f>
        <v>42356.836079013534</v>
      </c>
    </row>
    <row r="240" spans="1:17" x14ac:dyDescent="0.25">
      <c r="A240" s="11">
        <v>236</v>
      </c>
      <c r="B240" s="11" t="str">
        <f t="shared" ca="1" si="36"/>
        <v>Severe</v>
      </c>
      <c r="C240" s="11">
        <f t="shared" ca="1" si="37"/>
        <v>0.8</v>
      </c>
      <c r="D240" s="11">
        <f t="shared" ca="1" si="38"/>
        <v>0</v>
      </c>
      <c r="E240" s="11">
        <f t="shared" ca="1" si="39"/>
        <v>3</v>
      </c>
      <c r="F240" s="36">
        <f t="shared" ca="1" si="40"/>
        <v>1.0425515888178205</v>
      </c>
      <c r="G240" s="11">
        <f t="shared" ca="1" si="41"/>
        <v>5.7042694127775621E-2</v>
      </c>
      <c r="H240" s="11">
        <f t="shared" ca="1" si="42"/>
        <v>0.13271467284431565</v>
      </c>
      <c r="I240" s="11">
        <f t="shared" ca="1" si="43"/>
        <v>5.1293248118077353E-2</v>
      </c>
      <c r="J240" s="11">
        <f t="shared" ca="1" si="44"/>
        <v>68</v>
      </c>
      <c r="K240" s="11">
        <f t="shared" ca="1" si="45"/>
        <v>90</v>
      </c>
      <c r="L240" s="11">
        <f t="shared" ca="1" si="46"/>
        <v>48</v>
      </c>
      <c r="M240" s="11">
        <f ca="1">MAX(MAX(0,($J240*(1+0.5*Acuity_M))-(Model!$G$24*(1+OTCapPct)*(Cap_Doc*$C240*(1-$G240)))),MAX(0,($J240)-(Model!$G$6*(1+OTCapPct)*(Cap_Nurse*$C240*(1-$H240)))),MAX(0,($J240)-(Model!$G$15*(1+OTCapPct)*(Cap_Tech*$C240*(1-$I240)))),MAX(0,$J240-((BedsCurrent+BedsAdded)*ShiftHours*$F240/BedHr_M)),MAX(0,$J240*Acuity_M-(ImgBase+ImgExpOn*ImgExpAdd)),MAX(0,$J240-(LabBase+LabExpOn*LabExpAdd)))</f>
        <v>0</v>
      </c>
      <c r="N240" s="11">
        <f ca="1">MAX(MAX(0,($K240*(1+0.5*Acuity_E))-(Model!$G$25*(1+OTCapPct)*(Cap_Doc*$C240*(1-$G240)))),MAX(0,($K240)-(Model!$G$7*(1+OTCapPct)*(Cap_Nurse*$C240*(1-$H240)))),MAX(0,($K240)-(Model!$G$16*(1+OTCapPct)*(Cap_Tech*$C240*(1-$I240)))),MAX(0,$K240-((BedsCurrent+BedsAdded)*ShiftHours*$F240/BedHr_E)),MAX(0,$K240*Acuity_E-(ImgBase+ImgExpOn*ImgExpAdd)),MAX(0,$K240-(LabBase+LabExpOn*LabExpAdd)))</f>
        <v>0</v>
      </c>
      <c r="O240" s="11">
        <f ca="1">MAX(MAX(0,($L240*(1+0.5*Acuity_N))-(Model!$G$26*(1+OTCapPct)*(Cap_Doc*$C240*(1-$G240)))),MAX(0,($L240)-(Model!$G$8*(1+OTCapPct)*(Cap_Nurse*$C240*(1-$H240)))),MAX(0,($L240)-(Model!$G$17*(1+OTCapPct)*(Cap_Tech*$C240*(1-$I240)))),MAX(0,$L240-((BedsCurrent+BedsAdded)*ShiftHours*$F240/BedHr_N)),MAX(0,$L240*Acuity_N-(ImgBase+ImgExpOn*ImgExpAdd)),MAX(0,$L240-(LabBase+LabExpOn*LabExpAdd)))</f>
        <v>0</v>
      </c>
      <c r="P240" s="11">
        <f t="shared" ca="1" si="47"/>
        <v>0</v>
      </c>
      <c r="Q240" s="17">
        <f ca="1">((MIN(OTCapPct*Model!$G$24,MAX(0,(($J240*(1+0.5*Acuity_M))/(Cap_Doc*$C240*(1-$G240)))-Model!$G$24)))*OTCost_Doc)+((MIN(OTCapPct*Model!$G$6,MAX(0,(($J240)/(Cap_Nurse*$C240*(1-$H240)))-Model!$G$6)))*OTCost_Nurse)+((MIN(OTCapPct*Model!$G$15,MAX(0,(($J240)/(Cap_Tech*$C240*(1-$I240)))-Model!$G$15)))*OTCost_Tech)+((MIN(OTCapPct*Model!$G$25,MAX(0,(($K240*(1+0.5*Acuity_E))/(Cap_Doc*$C240*(1-$G240)))-Model!$G$25)))*OTCost_Doc)+((MIN(OTCapPct*Model!$G$7,MAX(0,(($K240)/(Cap_Nurse*$C240*(1-$H240)))-Model!$G$7)))*OTCost_Nurse)+((MIN(OTCapPct*Model!$G$16,MAX(0,(($K240)/(Cap_Tech*$C240*(1-$I240)))-Model!$G$16)))*OTCost_Tech)+((MIN(OTCapPct*Model!$G$26,MAX(0,(($L240*(1+0.5*Acuity_N))/(Cap_Doc*$C240*(1-$G240)))-Model!$G$26)))*OTCost_Doc)+((MIN(OTCapPct*Model!$G$8,MAX(0,(($L240)/(Cap_Nurse*$C240*(1-$H240)))-Model!$G$8)))*OTCost_Nurse)+((MIN(OTCapPct*Model!$G$17,MAX(0,(($L240)/(Cap_Tech*$C240*(1-$I240)))-Model!$G$17)))*OTCost_Tech)</f>
        <v>28779.355078561413</v>
      </c>
    </row>
    <row r="241" spans="1:17" x14ac:dyDescent="0.25">
      <c r="A241" s="11">
        <v>237</v>
      </c>
      <c r="B241" s="11" t="str">
        <f t="shared" ca="1" si="36"/>
        <v>Normal</v>
      </c>
      <c r="C241" s="11">
        <f t="shared" ca="1" si="37"/>
        <v>1</v>
      </c>
      <c r="D241" s="11">
        <f t="shared" ca="1" si="38"/>
        <v>0</v>
      </c>
      <c r="E241" s="11">
        <f t="shared" ca="1" si="39"/>
        <v>3</v>
      </c>
      <c r="F241" s="36">
        <f t="shared" ca="1" si="40"/>
        <v>0.8084169839358657</v>
      </c>
      <c r="G241" s="11">
        <f t="shared" ca="1" si="41"/>
        <v>5.653447112870414E-2</v>
      </c>
      <c r="H241" s="11">
        <f t="shared" ca="1" si="42"/>
        <v>3.5985113907504508E-2</v>
      </c>
      <c r="I241" s="11">
        <f t="shared" ca="1" si="43"/>
        <v>0</v>
      </c>
      <c r="J241" s="11">
        <f t="shared" ca="1" si="44"/>
        <v>62</v>
      </c>
      <c r="K241" s="11">
        <f t="shared" ca="1" si="45"/>
        <v>160</v>
      </c>
      <c r="L241" s="11">
        <f t="shared" ca="1" si="46"/>
        <v>63</v>
      </c>
      <c r="M241" s="11">
        <f ca="1">MAX(MAX(0,($J241*(1+0.5*Acuity_M))-(Model!$G$24*(1+OTCapPct)*(Cap_Doc*$C241*(1-$G241)))),MAX(0,($J241)-(Model!$G$6*(1+OTCapPct)*(Cap_Nurse*$C241*(1-$H241)))),MAX(0,($J241)-(Model!$G$15*(1+OTCapPct)*(Cap_Tech*$C241*(1-$I241)))),MAX(0,$J241-((BedsCurrent+BedsAdded)*ShiftHours*$F241/BedHr_M)),MAX(0,$J241*Acuity_M-(ImgBase+ImgExpOn*ImgExpAdd)),MAX(0,$J241-(LabBase+LabExpOn*LabExpAdd)))</f>
        <v>0</v>
      </c>
      <c r="N241" s="11">
        <f ca="1">MAX(MAX(0,($K241*(1+0.5*Acuity_E))-(Model!$G$25*(1+OTCapPct)*(Cap_Doc*$C241*(1-$G241)))),MAX(0,($K241)-(Model!$G$7*(1+OTCapPct)*(Cap_Nurse*$C241*(1-$H241)))),MAX(0,($K241)-(Model!$G$16*(1+OTCapPct)*(Cap_Tech*$C241*(1-$I241)))),MAX(0,$K241-((BedsCurrent+BedsAdded)*ShiftHours*$F241/BedHr_E)),MAX(0,$K241*Acuity_E-(ImgBase+ImgExpOn*ImgExpAdd)),MAX(0,$K241-(LabBase+LabExpOn*LabExpAdd)))</f>
        <v>72.044232147777819</v>
      </c>
      <c r="O241" s="11">
        <f ca="1">MAX(MAX(0,($L241*(1+0.5*Acuity_N))-(Model!$G$26*(1+OTCapPct)*(Cap_Doc*$C241*(1-$G241)))),MAX(0,($L241)-(Model!$G$8*(1+OTCapPct)*(Cap_Nurse*$C241*(1-$H241)))),MAX(0,($L241)-(Model!$G$17*(1+OTCapPct)*(Cap_Tech*$C241*(1-$I241)))),MAX(0,$L241-((BedsCurrent+BedsAdded)*ShiftHours*$F241/BedHr_N)),MAX(0,$L241*Acuity_N-(ImgBase+ImgExpOn*ImgExpAdd)),MAX(0,$L241-(LabBase+LabExpOn*LabExpAdd)))</f>
        <v>0</v>
      </c>
      <c r="P241" s="11">
        <f t="shared" ca="1" si="47"/>
        <v>72.044232147777819</v>
      </c>
      <c r="Q241" s="17">
        <f ca="1">((MIN(OTCapPct*Model!$G$24,MAX(0,(($J241*(1+0.5*Acuity_M))/(Cap_Doc*$C241*(1-$G241)))-Model!$G$24)))*OTCost_Doc)+((MIN(OTCapPct*Model!$G$6,MAX(0,(($J241)/(Cap_Nurse*$C241*(1-$H241)))-Model!$G$6)))*OTCost_Nurse)+((MIN(OTCapPct*Model!$G$15,MAX(0,(($J241)/(Cap_Tech*$C241*(1-$I241)))-Model!$G$15)))*OTCost_Tech)+((MIN(OTCapPct*Model!$G$25,MAX(0,(($K241*(1+0.5*Acuity_E))/(Cap_Doc*$C241*(1-$G241)))-Model!$G$25)))*OTCost_Doc)+((MIN(OTCapPct*Model!$G$7,MAX(0,(($K241)/(Cap_Nurse*$C241*(1-$H241)))-Model!$G$7)))*OTCost_Nurse)+((MIN(OTCapPct*Model!$G$16,MAX(0,(($K241)/(Cap_Tech*$C241*(1-$I241)))-Model!$G$16)))*OTCost_Tech)+((MIN(OTCapPct*Model!$G$26,MAX(0,(($L241*(1+0.5*Acuity_N))/(Cap_Doc*$C241*(1-$G241)))-Model!$G$26)))*OTCost_Doc)+((MIN(OTCapPct*Model!$G$8,MAX(0,(($L241)/(Cap_Nurse*$C241*(1-$H241)))-Model!$G$8)))*OTCost_Nurse)+((MIN(OTCapPct*Model!$G$17,MAX(0,(($L241)/(Cap_Tech*$C241*(1-$I241)))-Model!$G$17)))*OTCost_Tech)</f>
        <v>48468.519145321639</v>
      </c>
    </row>
    <row r="242" spans="1:17" x14ac:dyDescent="0.25">
      <c r="A242" s="11">
        <v>238</v>
      </c>
      <c r="B242" s="11" t="str">
        <f t="shared" ca="1" si="36"/>
        <v>Complex</v>
      </c>
      <c r="C242" s="11">
        <f t="shared" ca="1" si="37"/>
        <v>0.9</v>
      </c>
      <c r="D242" s="11">
        <f t="shared" ca="1" si="38"/>
        <v>0</v>
      </c>
      <c r="E242" s="11">
        <f t="shared" ca="1" si="39"/>
        <v>3</v>
      </c>
      <c r="F242" s="36">
        <f t="shared" ca="1" si="40"/>
        <v>1.0223894735979857</v>
      </c>
      <c r="G242" s="11">
        <f t="shared" ca="1" si="41"/>
        <v>6.5008874695879862E-2</v>
      </c>
      <c r="H242" s="11">
        <f t="shared" ca="1" si="42"/>
        <v>6.3391492618662088E-2</v>
      </c>
      <c r="I242" s="11">
        <f t="shared" ca="1" si="43"/>
        <v>2.505486122597848E-2</v>
      </c>
      <c r="J242" s="11">
        <f t="shared" ca="1" si="44"/>
        <v>77</v>
      </c>
      <c r="K242" s="11">
        <f t="shared" ca="1" si="45"/>
        <v>101</v>
      </c>
      <c r="L242" s="11">
        <f t="shared" ca="1" si="46"/>
        <v>52</v>
      </c>
      <c r="M242" s="11">
        <f ca="1">MAX(MAX(0,($J242*(1+0.5*Acuity_M))-(Model!$G$24*(1+OTCapPct)*(Cap_Doc*$C242*(1-$G242)))),MAX(0,($J242)-(Model!$G$6*(1+OTCapPct)*(Cap_Nurse*$C242*(1-$H242)))),MAX(0,($J242)-(Model!$G$15*(1+OTCapPct)*(Cap_Tech*$C242*(1-$I242)))),MAX(0,$J242-((BedsCurrent+BedsAdded)*ShiftHours*$F242/BedHr_M)),MAX(0,$J242*Acuity_M-(ImgBase+ImgExpOn*ImgExpAdd)),MAX(0,$J242-(LabBase+LabExpOn*LabExpAdd)))</f>
        <v>0</v>
      </c>
      <c r="N242" s="11">
        <f ca="1">MAX(MAX(0,($K242*(1+0.5*Acuity_E))-(Model!$G$25*(1+OTCapPct)*(Cap_Doc*$C242*(1-$G242)))),MAX(0,($K242)-(Model!$G$7*(1+OTCapPct)*(Cap_Nurse*$C242*(1-$H242)))),MAX(0,($K242)-(Model!$G$16*(1+OTCapPct)*(Cap_Tech*$C242*(1-$I242)))),MAX(0,$K242-((BedsCurrent+BedsAdded)*ShiftHours*$F242/BedHr_E)),MAX(0,$K242*Acuity_E-(ImgBase+ImgExpOn*ImgExpAdd)),MAX(0,$K242-(LabBase+LabExpOn*LabExpAdd)))</f>
        <v>6</v>
      </c>
      <c r="O242" s="11">
        <f ca="1">MAX(MAX(0,($L242*(1+0.5*Acuity_N))-(Model!$G$26*(1+OTCapPct)*(Cap_Doc*$C242*(1-$G242)))),MAX(0,($L242)-(Model!$G$8*(1+OTCapPct)*(Cap_Nurse*$C242*(1-$H242)))),MAX(0,($L242)-(Model!$G$17*(1+OTCapPct)*(Cap_Tech*$C242*(1-$I242)))),MAX(0,$L242-((BedsCurrent+BedsAdded)*ShiftHours*$F242/BedHr_N)),MAX(0,$L242*Acuity_N-(ImgBase+ImgExpOn*ImgExpAdd)),MAX(0,$L242-(LabBase+LabExpOn*LabExpAdd)))</f>
        <v>0</v>
      </c>
      <c r="P242" s="11">
        <f t="shared" ca="1" si="47"/>
        <v>6</v>
      </c>
      <c r="Q242" s="17">
        <f ca="1">((MIN(OTCapPct*Model!$G$24,MAX(0,(($J242*(1+0.5*Acuity_M))/(Cap_Doc*$C242*(1-$G242)))-Model!$G$24)))*OTCost_Doc)+((MIN(OTCapPct*Model!$G$6,MAX(0,(($J242)/(Cap_Nurse*$C242*(1-$H242)))-Model!$G$6)))*OTCost_Nurse)+((MIN(OTCapPct*Model!$G$15,MAX(0,(($J242)/(Cap_Tech*$C242*(1-$I242)))-Model!$G$15)))*OTCost_Tech)+((MIN(OTCapPct*Model!$G$25,MAX(0,(($K242*(1+0.5*Acuity_E))/(Cap_Doc*$C242*(1-$G242)))-Model!$G$25)))*OTCost_Doc)+((MIN(OTCapPct*Model!$G$7,MAX(0,(($K242)/(Cap_Nurse*$C242*(1-$H242)))-Model!$G$7)))*OTCost_Nurse)+((MIN(OTCapPct*Model!$G$16,MAX(0,(($K242)/(Cap_Tech*$C242*(1-$I242)))-Model!$G$16)))*OTCost_Tech)+((MIN(OTCapPct*Model!$G$26,MAX(0,(($L242*(1+0.5*Acuity_N))/(Cap_Doc*$C242*(1-$G242)))-Model!$G$26)))*OTCost_Doc)+((MIN(OTCapPct*Model!$G$8,MAX(0,(($L242)/(Cap_Nurse*$C242*(1-$H242)))-Model!$G$8)))*OTCost_Nurse)+((MIN(OTCapPct*Model!$G$17,MAX(0,(($L242)/(Cap_Tech*$C242*(1-$I242)))-Model!$G$17)))*OTCost_Tech)</f>
        <v>20777.638285785142</v>
      </c>
    </row>
    <row r="243" spans="1:17" x14ac:dyDescent="0.25">
      <c r="A243" s="11">
        <v>239</v>
      </c>
      <c r="B243" s="11" t="str">
        <f t="shared" ca="1" si="36"/>
        <v>Normal</v>
      </c>
      <c r="C243" s="11">
        <f t="shared" ca="1" si="37"/>
        <v>1</v>
      </c>
      <c r="D243" s="11">
        <f t="shared" ca="1" si="38"/>
        <v>0</v>
      </c>
      <c r="E243" s="11">
        <f t="shared" ca="1" si="39"/>
        <v>1</v>
      </c>
      <c r="F243" s="36">
        <f t="shared" ca="1" si="40"/>
        <v>1.1172375740657601</v>
      </c>
      <c r="G243" s="11">
        <f t="shared" ca="1" si="41"/>
        <v>0.10372485723262839</v>
      </c>
      <c r="H243" s="11">
        <f t="shared" ca="1" si="42"/>
        <v>0.11449704459720322</v>
      </c>
      <c r="I243" s="11">
        <f t="shared" ca="1" si="43"/>
        <v>0.15698927103946969</v>
      </c>
      <c r="J243" s="11">
        <f t="shared" ca="1" si="44"/>
        <v>83</v>
      </c>
      <c r="K243" s="11">
        <f t="shared" ca="1" si="45"/>
        <v>140</v>
      </c>
      <c r="L243" s="11">
        <f t="shared" ca="1" si="46"/>
        <v>58</v>
      </c>
      <c r="M243" s="11">
        <f ca="1">MAX(MAX(0,($J243*(1+0.5*Acuity_M))-(Model!$G$24*(1+OTCapPct)*(Cap_Doc*$C243*(1-$G243)))),MAX(0,($J243)-(Model!$G$6*(1+OTCapPct)*(Cap_Nurse*$C243*(1-$H243)))),MAX(0,($J243)-(Model!$G$15*(1+OTCapPct)*(Cap_Tech*$C243*(1-$I243)))),MAX(0,$J243-((BedsCurrent+BedsAdded)*ShiftHours*$F243/BedHr_M)),MAX(0,$J243*Acuity_M-(ImgBase+ImgExpOn*ImgExpAdd)),MAX(0,$J243-(LabBase+LabExpOn*LabExpAdd)))</f>
        <v>0</v>
      </c>
      <c r="N243" s="11">
        <f ca="1">MAX(MAX(0,($K243*(1+0.5*Acuity_E))-(Model!$G$25*(1+OTCapPct)*(Cap_Doc*$C243*(1-$G243)))),MAX(0,($K243)-(Model!$G$7*(1+OTCapPct)*(Cap_Nurse*$C243*(1-$H243)))),MAX(0,($K243)-(Model!$G$16*(1+OTCapPct)*(Cap_Tech*$C243*(1-$I243)))),MAX(0,$K243-((BedsCurrent+BedsAdded)*ShiftHours*$F243/BedHr_E)),MAX(0,$K243*Acuity_E-(ImgBase+ImgExpOn*ImgExpAdd)),MAX(0,$K243-(LabBase+LabExpOn*LabExpAdd)))</f>
        <v>45</v>
      </c>
      <c r="O243" s="11">
        <f ca="1">MAX(MAX(0,($L243*(1+0.5*Acuity_N))-(Model!$G$26*(1+OTCapPct)*(Cap_Doc*$C243*(1-$G243)))),MAX(0,($L243)-(Model!$G$8*(1+OTCapPct)*(Cap_Nurse*$C243*(1-$H243)))),MAX(0,($L243)-(Model!$G$17*(1+OTCapPct)*(Cap_Tech*$C243*(1-$I243)))),MAX(0,$L243-((BedsCurrent+BedsAdded)*ShiftHours*$F243/BedHr_N)),MAX(0,$L243*Acuity_N-(ImgBase+ImgExpOn*ImgExpAdd)),MAX(0,$L243-(LabBase+LabExpOn*LabExpAdd)))</f>
        <v>0</v>
      </c>
      <c r="P243" s="11">
        <f t="shared" ca="1" si="47"/>
        <v>45</v>
      </c>
      <c r="Q243" s="17">
        <f ca="1">((MIN(OTCapPct*Model!$G$24,MAX(0,(($J243*(1+0.5*Acuity_M))/(Cap_Doc*$C243*(1-$G243)))-Model!$G$24)))*OTCost_Doc)+((MIN(OTCapPct*Model!$G$6,MAX(0,(($J243)/(Cap_Nurse*$C243*(1-$H243)))-Model!$G$6)))*OTCost_Nurse)+((MIN(OTCapPct*Model!$G$15,MAX(0,(($J243)/(Cap_Tech*$C243*(1-$I243)))-Model!$G$15)))*OTCost_Tech)+((MIN(OTCapPct*Model!$G$25,MAX(0,(($K243*(1+0.5*Acuity_E))/(Cap_Doc*$C243*(1-$G243)))-Model!$G$25)))*OTCost_Doc)+((MIN(OTCapPct*Model!$G$7,MAX(0,(($K243)/(Cap_Nurse*$C243*(1-$H243)))-Model!$G$7)))*OTCost_Nurse)+((MIN(OTCapPct*Model!$G$16,MAX(0,(($K243)/(Cap_Tech*$C243*(1-$I243)))-Model!$G$16)))*OTCost_Tech)+((MIN(OTCapPct*Model!$G$26,MAX(0,(($L243*(1+0.5*Acuity_N))/(Cap_Doc*$C243*(1-$G243)))-Model!$G$26)))*OTCost_Doc)+((MIN(OTCapPct*Model!$G$8,MAX(0,(($L243)/(Cap_Nurse*$C243*(1-$H243)))-Model!$G$8)))*OTCost_Nurse)+((MIN(OTCapPct*Model!$G$17,MAX(0,(($L243)/(Cap_Tech*$C243*(1-$I243)))-Model!$G$17)))*OTCost_Tech)</f>
        <v>62964.36723304294</v>
      </c>
    </row>
    <row r="244" spans="1:17" x14ac:dyDescent="0.25">
      <c r="A244" s="11">
        <v>240</v>
      </c>
      <c r="B244" s="11" t="str">
        <f t="shared" ca="1" si="36"/>
        <v>Complex</v>
      </c>
      <c r="C244" s="11">
        <f t="shared" ca="1" si="37"/>
        <v>0.9</v>
      </c>
      <c r="D244" s="11">
        <f t="shared" ca="1" si="38"/>
        <v>0</v>
      </c>
      <c r="E244" s="11">
        <f t="shared" ca="1" si="39"/>
        <v>3</v>
      </c>
      <c r="F244" s="36">
        <f t="shared" ca="1" si="40"/>
        <v>0.8117255602860951</v>
      </c>
      <c r="G244" s="11">
        <f t="shared" ca="1" si="41"/>
        <v>1.6797989681048703E-3</v>
      </c>
      <c r="H244" s="11">
        <f t="shared" ca="1" si="42"/>
        <v>0.14418538684128274</v>
      </c>
      <c r="I244" s="11">
        <f t="shared" ca="1" si="43"/>
        <v>0</v>
      </c>
      <c r="J244" s="11">
        <f t="shared" ca="1" si="44"/>
        <v>102</v>
      </c>
      <c r="K244" s="11">
        <f t="shared" ca="1" si="45"/>
        <v>99</v>
      </c>
      <c r="L244" s="11">
        <f t="shared" ca="1" si="46"/>
        <v>79</v>
      </c>
      <c r="M244" s="11">
        <f ca="1">MAX(MAX(0,($J244*(1+0.5*Acuity_M))-(Model!$G$24*(1+OTCapPct)*(Cap_Doc*$C244*(1-$G244)))),MAX(0,($J244)-(Model!$G$6*(1+OTCapPct)*(Cap_Nurse*$C244*(1-$H244)))),MAX(0,($J244)-(Model!$G$15*(1+OTCapPct)*(Cap_Tech*$C244*(1-$I244)))),MAX(0,$J244-((BedsCurrent+BedsAdded)*ShiftHours*$F244/BedHr_M)),MAX(0,$J244*Acuity_M-(ImgBase+ImgExpOn*ImgExpAdd)),MAX(0,$J244-(LabBase+LabExpOn*LabExpAdd)))</f>
        <v>21.125519056501219</v>
      </c>
      <c r="N244" s="11">
        <f ca="1">MAX(MAX(0,($K244*(1+0.5*Acuity_E))-(Model!$G$25*(1+OTCapPct)*(Cap_Doc*$C244*(1-$G244)))),MAX(0,($K244)-(Model!$G$7*(1+OTCapPct)*(Cap_Nurse*$C244*(1-$H244)))),MAX(0,($K244)-(Model!$G$16*(1+OTCapPct)*(Cap_Tech*$C244*(1-$I244)))),MAX(0,$K244-((BedsCurrent+BedsAdded)*ShiftHours*$F244/BedHr_E)),MAX(0,$K244*Acuity_E-(ImgBase+ImgExpOn*ImgExpAdd)),MAX(0,$K244-(LabBase+LabExpOn*LabExpAdd)))</f>
        <v>10.684259040872846</v>
      </c>
      <c r="O244" s="11">
        <f ca="1">MAX(MAX(0,($L244*(1+0.5*Acuity_N))-(Model!$G$26*(1+OTCapPct)*(Cap_Doc*$C244*(1-$G244)))),MAX(0,($L244)-(Model!$G$8*(1+OTCapPct)*(Cap_Nurse*$C244*(1-$H244)))),MAX(0,($L244)-(Model!$G$17*(1+OTCapPct)*(Cap_Tech*$C244*(1-$I244)))),MAX(0,$L244-((BedsCurrent+BedsAdded)*ShiftHours*$F244/BedHr_N)),MAX(0,$L244*Acuity_N-(ImgBase+ImgExpOn*ImgExpAdd)),MAX(0,$L244-(LabBase+LabExpOn*LabExpAdd)))</f>
        <v>9.9860637164164956</v>
      </c>
      <c r="P244" s="11">
        <f t="shared" ca="1" si="47"/>
        <v>41.79584181379056</v>
      </c>
      <c r="Q244" s="17">
        <f ca="1">((MIN(OTCapPct*Model!$G$24,MAX(0,(($J244*(1+0.5*Acuity_M))/(Cap_Doc*$C244*(1-$G244)))-Model!$G$24)))*OTCost_Doc)+((MIN(OTCapPct*Model!$G$6,MAX(0,(($J244)/(Cap_Nurse*$C244*(1-$H244)))-Model!$G$6)))*OTCost_Nurse)+((MIN(OTCapPct*Model!$G$15,MAX(0,(($J244)/(Cap_Tech*$C244*(1-$I244)))-Model!$G$15)))*OTCost_Tech)+((MIN(OTCapPct*Model!$G$25,MAX(0,(($K244*(1+0.5*Acuity_E))/(Cap_Doc*$C244*(1-$G244)))-Model!$G$25)))*OTCost_Doc)+((MIN(OTCapPct*Model!$G$7,MAX(0,(($K244)/(Cap_Nurse*$C244*(1-$H244)))-Model!$G$7)))*OTCost_Nurse)+((MIN(OTCapPct*Model!$G$16,MAX(0,(($K244)/(Cap_Tech*$C244*(1-$I244)))-Model!$G$16)))*OTCost_Tech)+((MIN(OTCapPct*Model!$G$26,MAX(0,(($L244*(1+0.5*Acuity_N))/(Cap_Doc*$C244*(1-$G244)))-Model!$G$26)))*OTCost_Doc)+((MIN(OTCapPct*Model!$G$8,MAX(0,(($L244)/(Cap_Nurse*$C244*(1-$H244)))-Model!$G$8)))*OTCost_Nurse)+((MIN(OTCapPct*Model!$G$17,MAX(0,(($L244)/(Cap_Tech*$C244*(1-$I244)))-Model!$G$17)))*OTCost_Tech)</f>
        <v>59871.776044951868</v>
      </c>
    </row>
    <row r="245" spans="1:17" x14ac:dyDescent="0.25">
      <c r="A245" s="11">
        <v>241</v>
      </c>
      <c r="B245" s="11" t="str">
        <f t="shared" ca="1" si="36"/>
        <v>Normal</v>
      </c>
      <c r="C245" s="11">
        <f t="shared" ca="1" si="37"/>
        <v>1</v>
      </c>
      <c r="D245" s="11">
        <f t="shared" ca="1" si="38"/>
        <v>0</v>
      </c>
      <c r="E245" s="11">
        <f t="shared" ca="1" si="39"/>
        <v>2</v>
      </c>
      <c r="F245" s="36">
        <f t="shared" ca="1" si="40"/>
        <v>0.94562367385846735</v>
      </c>
      <c r="G245" s="11">
        <f t="shared" ca="1" si="41"/>
        <v>6.5793794411993484E-2</v>
      </c>
      <c r="H245" s="11">
        <f t="shared" ca="1" si="42"/>
        <v>6.6328286345134907E-2</v>
      </c>
      <c r="I245" s="11">
        <f t="shared" ca="1" si="43"/>
        <v>0.11015892289986817</v>
      </c>
      <c r="J245" s="11">
        <f t="shared" ca="1" si="44"/>
        <v>65</v>
      </c>
      <c r="K245" s="11">
        <f t="shared" ca="1" si="45"/>
        <v>104</v>
      </c>
      <c r="L245" s="11">
        <f t="shared" ca="1" si="46"/>
        <v>73</v>
      </c>
      <c r="M245" s="11">
        <f ca="1">MAX(MAX(0,($J245*(1+0.5*Acuity_M))-(Model!$G$24*(1+OTCapPct)*(Cap_Doc*$C245*(1-$G245)))),MAX(0,($J245)-(Model!$G$6*(1+OTCapPct)*(Cap_Nurse*$C245*(1-$H245)))),MAX(0,($J245)-(Model!$G$15*(1+OTCapPct)*(Cap_Tech*$C245*(1-$I245)))),MAX(0,$J245-((BedsCurrent+BedsAdded)*ShiftHours*$F245/BedHr_M)),MAX(0,$J245*Acuity_M-(ImgBase+ImgExpOn*ImgExpAdd)),MAX(0,$J245-(LabBase+LabExpOn*LabExpAdd)))</f>
        <v>0</v>
      </c>
      <c r="N245" s="11">
        <f ca="1">MAX(MAX(0,($K245*(1+0.5*Acuity_E))-(Model!$G$25*(1+OTCapPct)*(Cap_Doc*$C245*(1-$G245)))),MAX(0,($K245)-(Model!$G$7*(1+OTCapPct)*(Cap_Nurse*$C245*(1-$H245)))),MAX(0,($K245)-(Model!$G$16*(1+OTCapPct)*(Cap_Tech*$C245*(1-$I245)))),MAX(0,$K245-((BedsCurrent+BedsAdded)*ShiftHours*$F245/BedHr_E)),MAX(0,$K245*Acuity_E-(ImgBase+ImgExpOn*ImgExpAdd)),MAX(0,$K245-(LabBase+LabExpOn*LabExpAdd)))</f>
        <v>9</v>
      </c>
      <c r="O245" s="11">
        <f ca="1">MAX(MAX(0,($L245*(1+0.5*Acuity_N))-(Model!$G$26*(1+OTCapPct)*(Cap_Doc*$C245*(1-$G245)))),MAX(0,($L245)-(Model!$G$8*(1+OTCapPct)*(Cap_Nurse*$C245*(1-$H245)))),MAX(0,($L245)-(Model!$G$17*(1+OTCapPct)*(Cap_Tech*$C245*(1-$I245)))),MAX(0,$L245-((BedsCurrent+BedsAdded)*ShiftHours*$F245/BedHr_N)),MAX(0,$L245*Acuity_N-(ImgBase+ImgExpOn*ImgExpAdd)),MAX(0,$L245-(LabBase+LabExpOn*LabExpAdd)))</f>
        <v>0</v>
      </c>
      <c r="P245" s="11">
        <f t="shared" ca="1" si="47"/>
        <v>9</v>
      </c>
      <c r="Q245" s="17">
        <f ca="1">((MIN(OTCapPct*Model!$G$24,MAX(0,(($J245*(1+0.5*Acuity_M))/(Cap_Doc*$C245*(1-$G245)))-Model!$G$24)))*OTCost_Doc)+((MIN(OTCapPct*Model!$G$6,MAX(0,(($J245)/(Cap_Nurse*$C245*(1-$H245)))-Model!$G$6)))*OTCost_Nurse)+((MIN(OTCapPct*Model!$G$15,MAX(0,(($J245)/(Cap_Tech*$C245*(1-$I245)))-Model!$G$15)))*OTCost_Tech)+((MIN(OTCapPct*Model!$G$25,MAX(0,(($K245*(1+0.5*Acuity_E))/(Cap_Doc*$C245*(1-$G245)))-Model!$G$25)))*OTCost_Doc)+((MIN(OTCapPct*Model!$G$7,MAX(0,(($K245)/(Cap_Nurse*$C245*(1-$H245)))-Model!$G$7)))*OTCost_Nurse)+((MIN(OTCapPct*Model!$G$16,MAX(0,(($K245)/(Cap_Tech*$C245*(1-$I245)))-Model!$G$16)))*OTCost_Tech)+((MIN(OTCapPct*Model!$G$26,MAX(0,(($L245*(1+0.5*Acuity_N))/(Cap_Doc*$C245*(1-$G245)))-Model!$G$26)))*OTCost_Doc)+((MIN(OTCapPct*Model!$G$8,MAX(0,(($L245)/(Cap_Nurse*$C245*(1-$H245)))-Model!$G$8)))*OTCost_Nurse)+((MIN(OTCapPct*Model!$G$17,MAX(0,(($L245)/(Cap_Tech*$C245*(1-$I245)))-Model!$G$17)))*OTCost_Tech)</f>
        <v>17429.919795225633</v>
      </c>
    </row>
    <row r="246" spans="1:17" x14ac:dyDescent="0.25">
      <c r="A246" s="11">
        <v>242</v>
      </c>
      <c r="B246" s="11" t="str">
        <f t="shared" ca="1" si="36"/>
        <v>Normal</v>
      </c>
      <c r="C246" s="11">
        <f t="shared" ca="1" si="37"/>
        <v>1</v>
      </c>
      <c r="D246" s="11">
        <f t="shared" ca="1" si="38"/>
        <v>0</v>
      </c>
      <c r="E246" s="11">
        <f t="shared" ca="1" si="39"/>
        <v>2</v>
      </c>
      <c r="F246" s="36">
        <f t="shared" ca="1" si="40"/>
        <v>1.0249229458929678</v>
      </c>
      <c r="G246" s="11">
        <f t="shared" ca="1" si="41"/>
        <v>2.7721142679674054E-2</v>
      </c>
      <c r="H246" s="11">
        <f t="shared" ca="1" si="42"/>
        <v>6.2811777180788994E-2</v>
      </c>
      <c r="I246" s="11">
        <f t="shared" ca="1" si="43"/>
        <v>0</v>
      </c>
      <c r="J246" s="11">
        <f t="shared" ca="1" si="44"/>
        <v>89</v>
      </c>
      <c r="K246" s="11">
        <f t="shared" ca="1" si="45"/>
        <v>111</v>
      </c>
      <c r="L246" s="11">
        <f t="shared" ca="1" si="46"/>
        <v>37</v>
      </c>
      <c r="M246" s="11">
        <f ca="1">MAX(MAX(0,($J246*(1+0.5*Acuity_M))-(Model!$G$24*(1+OTCapPct)*(Cap_Doc*$C246*(1-$G246)))),MAX(0,($J246)-(Model!$G$6*(1+OTCapPct)*(Cap_Nurse*$C246*(1-$H246)))),MAX(0,($J246)-(Model!$G$15*(1+OTCapPct)*(Cap_Tech*$C246*(1-$I246)))),MAX(0,$J246-((BedsCurrent+BedsAdded)*ShiftHours*$F246/BedHr_M)),MAX(0,$J246*Acuity_M-(ImgBase+ImgExpOn*ImgExpAdd)),MAX(0,$J246-(LabBase+LabExpOn*LabExpAdd)))</f>
        <v>0</v>
      </c>
      <c r="N246" s="11">
        <f ca="1">MAX(MAX(0,($K246*(1+0.5*Acuity_E))-(Model!$G$25*(1+OTCapPct)*(Cap_Doc*$C246*(1-$G246)))),MAX(0,($K246)-(Model!$G$7*(1+OTCapPct)*(Cap_Nurse*$C246*(1-$H246)))),MAX(0,($K246)-(Model!$G$16*(1+OTCapPct)*(Cap_Tech*$C246*(1-$I246)))),MAX(0,$K246-((BedsCurrent+BedsAdded)*ShiftHours*$F246/BedHr_E)),MAX(0,$K246*Acuity_E-(ImgBase+ImgExpOn*ImgExpAdd)),MAX(0,$K246-(LabBase+LabExpOn*LabExpAdd)))</f>
        <v>16</v>
      </c>
      <c r="O246" s="11">
        <f ca="1">MAX(MAX(0,($L246*(1+0.5*Acuity_N))-(Model!$G$26*(1+OTCapPct)*(Cap_Doc*$C246*(1-$G246)))),MAX(0,($L246)-(Model!$G$8*(1+OTCapPct)*(Cap_Nurse*$C246*(1-$H246)))),MAX(0,($L246)-(Model!$G$17*(1+OTCapPct)*(Cap_Tech*$C246*(1-$I246)))),MAX(0,$L246-((BedsCurrent+BedsAdded)*ShiftHours*$F246/BedHr_N)),MAX(0,$L246*Acuity_N-(ImgBase+ImgExpOn*ImgExpAdd)),MAX(0,$L246-(LabBase+LabExpOn*LabExpAdd)))</f>
        <v>0</v>
      </c>
      <c r="P246" s="11">
        <f t="shared" ca="1" si="47"/>
        <v>16</v>
      </c>
      <c r="Q246" s="17">
        <f ca="1">((MIN(OTCapPct*Model!$G$24,MAX(0,(($J246*(1+0.5*Acuity_M))/(Cap_Doc*$C246*(1-$G246)))-Model!$G$24)))*OTCost_Doc)+((MIN(OTCapPct*Model!$G$6,MAX(0,(($J246)/(Cap_Nurse*$C246*(1-$H246)))-Model!$G$6)))*OTCost_Nurse)+((MIN(OTCapPct*Model!$G$15,MAX(0,(($J246)/(Cap_Tech*$C246*(1-$I246)))-Model!$G$15)))*OTCost_Tech)+((MIN(OTCapPct*Model!$G$25,MAX(0,(($K246*(1+0.5*Acuity_E))/(Cap_Doc*$C246*(1-$G246)))-Model!$G$25)))*OTCost_Doc)+((MIN(OTCapPct*Model!$G$7,MAX(0,(($K246)/(Cap_Nurse*$C246*(1-$H246)))-Model!$G$7)))*OTCost_Nurse)+((MIN(OTCapPct*Model!$G$16,MAX(0,(($K246)/(Cap_Tech*$C246*(1-$I246)))-Model!$G$16)))*OTCost_Tech)+((MIN(OTCapPct*Model!$G$26,MAX(0,(($L246*(1+0.5*Acuity_N))/(Cap_Doc*$C246*(1-$G246)))-Model!$G$26)))*OTCost_Doc)+((MIN(OTCapPct*Model!$G$8,MAX(0,(($L246)/(Cap_Nurse*$C246*(1-$H246)))-Model!$G$8)))*OTCost_Nurse)+((MIN(OTCapPct*Model!$G$17,MAX(0,(($L246)/(Cap_Tech*$C246*(1-$I246)))-Model!$G$17)))*OTCost_Tech)</f>
        <v>17755.203666616413</v>
      </c>
    </row>
    <row r="247" spans="1:17" x14ac:dyDescent="0.25">
      <c r="A247" s="11">
        <v>243</v>
      </c>
      <c r="B247" s="11" t="str">
        <f t="shared" ca="1" si="36"/>
        <v>Normal</v>
      </c>
      <c r="C247" s="11">
        <f t="shared" ca="1" si="37"/>
        <v>1</v>
      </c>
      <c r="D247" s="11">
        <f t="shared" ca="1" si="38"/>
        <v>0</v>
      </c>
      <c r="E247" s="11">
        <f t="shared" ca="1" si="39"/>
        <v>2</v>
      </c>
      <c r="F247" s="36">
        <f t="shared" ca="1" si="40"/>
        <v>0.91512975101618022</v>
      </c>
      <c r="G247" s="11">
        <f t="shared" ca="1" si="41"/>
        <v>0</v>
      </c>
      <c r="H247" s="11">
        <f t="shared" ca="1" si="42"/>
        <v>4.8549643356406998E-2</v>
      </c>
      <c r="I247" s="11">
        <f t="shared" ca="1" si="43"/>
        <v>3.0701416516361747E-2</v>
      </c>
      <c r="J247" s="11">
        <f t="shared" ca="1" si="44"/>
        <v>97</v>
      </c>
      <c r="K247" s="11">
        <f t="shared" ca="1" si="45"/>
        <v>103</v>
      </c>
      <c r="L247" s="11">
        <f t="shared" ca="1" si="46"/>
        <v>74</v>
      </c>
      <c r="M247" s="11">
        <f ca="1">MAX(MAX(0,($J247*(1+0.5*Acuity_M))-(Model!$G$24*(1+OTCapPct)*(Cap_Doc*$C247*(1-$G247)))),MAX(0,($J247)-(Model!$G$6*(1+OTCapPct)*(Cap_Nurse*$C247*(1-$H247)))),MAX(0,($J247)-(Model!$G$15*(1+OTCapPct)*(Cap_Tech*$C247*(1-$I247)))),MAX(0,$J247-((BedsCurrent+BedsAdded)*ShiftHours*$F247/BedHr_M)),MAX(0,$J247*Acuity_M-(ImgBase+ImgExpOn*ImgExpAdd)),MAX(0,$J247-(LabBase+LabExpOn*LabExpAdd)))</f>
        <v>2</v>
      </c>
      <c r="N247" s="11">
        <f ca="1">MAX(MAX(0,($K247*(1+0.5*Acuity_E))-(Model!$G$25*(1+OTCapPct)*(Cap_Doc*$C247*(1-$G247)))),MAX(0,($K247)-(Model!$G$7*(1+OTCapPct)*(Cap_Nurse*$C247*(1-$H247)))),MAX(0,($K247)-(Model!$G$16*(1+OTCapPct)*(Cap_Tech*$C247*(1-$I247)))),MAX(0,$K247-((BedsCurrent+BedsAdded)*ShiftHours*$F247/BedHr_E)),MAX(0,$K247*Acuity_E-(ImgBase+ImgExpOn*ImgExpAdd)),MAX(0,$K247-(LabBase+LabExpOn*LabExpAdd)))</f>
        <v>8</v>
      </c>
      <c r="O247" s="11">
        <f ca="1">MAX(MAX(0,($L247*(1+0.5*Acuity_N))-(Model!$G$26*(1+OTCapPct)*(Cap_Doc*$C247*(1-$G247)))),MAX(0,($L247)-(Model!$G$8*(1+OTCapPct)*(Cap_Nurse*$C247*(1-$H247)))),MAX(0,($L247)-(Model!$G$17*(1+OTCapPct)*(Cap_Tech*$C247*(1-$I247)))),MAX(0,$L247-((BedsCurrent+BedsAdded)*ShiftHours*$F247/BedHr_N)),MAX(0,$L247*Acuity_N-(ImgBase+ImgExpOn*ImgExpAdd)),MAX(0,$L247-(LabBase+LabExpOn*LabExpAdd)))</f>
        <v>0</v>
      </c>
      <c r="P247" s="11">
        <f t="shared" ca="1" si="47"/>
        <v>10</v>
      </c>
      <c r="Q247" s="17">
        <f ca="1">((MIN(OTCapPct*Model!$G$24,MAX(0,(($J247*(1+0.5*Acuity_M))/(Cap_Doc*$C247*(1-$G247)))-Model!$G$24)))*OTCost_Doc)+((MIN(OTCapPct*Model!$G$6,MAX(0,(($J247)/(Cap_Nurse*$C247*(1-$H247)))-Model!$G$6)))*OTCost_Nurse)+((MIN(OTCapPct*Model!$G$15,MAX(0,(($J247)/(Cap_Tech*$C247*(1-$I247)))-Model!$G$15)))*OTCost_Tech)+((MIN(OTCapPct*Model!$G$25,MAX(0,(($K247*(1+0.5*Acuity_E))/(Cap_Doc*$C247*(1-$G247)))-Model!$G$25)))*OTCost_Doc)+((MIN(OTCapPct*Model!$G$7,MAX(0,(($K247)/(Cap_Nurse*$C247*(1-$H247)))-Model!$G$7)))*OTCost_Nurse)+((MIN(OTCapPct*Model!$G$16,MAX(0,(($K247)/(Cap_Tech*$C247*(1-$I247)))-Model!$G$16)))*OTCost_Tech)+((MIN(OTCapPct*Model!$G$26,MAX(0,(($L247*(1+0.5*Acuity_N))/(Cap_Doc*$C247*(1-$G247)))-Model!$G$26)))*OTCost_Doc)+((MIN(OTCapPct*Model!$G$8,MAX(0,(($L247)/(Cap_Nurse*$C247*(1-$H247)))-Model!$G$8)))*OTCost_Nurse)+((MIN(OTCapPct*Model!$G$17,MAX(0,(($L247)/(Cap_Tech*$C247*(1-$I247)))-Model!$G$17)))*OTCost_Tech)</f>
        <v>37607.601730802802</v>
      </c>
    </row>
    <row r="248" spans="1:17" x14ac:dyDescent="0.25">
      <c r="A248" s="11">
        <v>244</v>
      </c>
      <c r="B248" s="11" t="str">
        <f t="shared" ca="1" si="36"/>
        <v>Normal</v>
      </c>
      <c r="C248" s="11">
        <f t="shared" ca="1" si="37"/>
        <v>1</v>
      </c>
      <c r="D248" s="11">
        <f t="shared" ca="1" si="38"/>
        <v>0</v>
      </c>
      <c r="E248" s="11">
        <f t="shared" ca="1" si="39"/>
        <v>1</v>
      </c>
      <c r="F248" s="36">
        <f t="shared" ca="1" si="40"/>
        <v>1.0214825444401905</v>
      </c>
      <c r="G248" s="11">
        <f t="shared" ca="1" si="41"/>
        <v>0</v>
      </c>
      <c r="H248" s="11">
        <f t="shared" ca="1" si="42"/>
        <v>5.0749780419224497E-2</v>
      </c>
      <c r="I248" s="11">
        <f t="shared" ca="1" si="43"/>
        <v>0</v>
      </c>
      <c r="J248" s="11">
        <f t="shared" ca="1" si="44"/>
        <v>86</v>
      </c>
      <c r="K248" s="11">
        <f t="shared" ca="1" si="45"/>
        <v>137</v>
      </c>
      <c r="L248" s="11">
        <f t="shared" ca="1" si="46"/>
        <v>63</v>
      </c>
      <c r="M248" s="11">
        <f ca="1">MAX(MAX(0,($J248*(1+0.5*Acuity_M))-(Model!$G$24*(1+OTCapPct)*(Cap_Doc*$C248*(1-$G248)))),MAX(0,($J248)-(Model!$G$6*(1+OTCapPct)*(Cap_Nurse*$C248*(1-$H248)))),MAX(0,($J248)-(Model!$G$15*(1+OTCapPct)*(Cap_Tech*$C248*(1-$I248)))),MAX(0,$J248-((BedsCurrent+BedsAdded)*ShiftHours*$F248/BedHr_M)),MAX(0,$J248*Acuity_M-(ImgBase+ImgExpOn*ImgExpAdd)),MAX(0,$J248-(LabBase+LabExpOn*LabExpAdd)))</f>
        <v>0</v>
      </c>
      <c r="N248" s="11">
        <f ca="1">MAX(MAX(0,($K248*(1+0.5*Acuity_E))-(Model!$G$25*(1+OTCapPct)*(Cap_Doc*$C248*(1-$G248)))),MAX(0,($K248)-(Model!$G$7*(1+OTCapPct)*(Cap_Nurse*$C248*(1-$H248)))),MAX(0,($K248)-(Model!$G$16*(1+OTCapPct)*(Cap_Tech*$C248*(1-$I248)))),MAX(0,$K248-((BedsCurrent+BedsAdded)*ShiftHours*$F248/BedHr_E)),MAX(0,$K248*Acuity_E-(ImgBase+ImgExpOn*ImgExpAdd)),MAX(0,$K248-(LabBase+LabExpOn*LabExpAdd)))</f>
        <v>42</v>
      </c>
      <c r="O248" s="11">
        <f ca="1">MAX(MAX(0,($L248*(1+0.5*Acuity_N))-(Model!$G$26*(1+OTCapPct)*(Cap_Doc*$C248*(1-$G248)))),MAX(0,($L248)-(Model!$G$8*(1+OTCapPct)*(Cap_Nurse*$C248*(1-$H248)))),MAX(0,($L248)-(Model!$G$17*(1+OTCapPct)*(Cap_Tech*$C248*(1-$I248)))),MAX(0,$L248-((BedsCurrent+BedsAdded)*ShiftHours*$F248/BedHr_N)),MAX(0,$L248*Acuity_N-(ImgBase+ImgExpOn*ImgExpAdd)),MAX(0,$L248-(LabBase+LabExpOn*LabExpAdd)))</f>
        <v>0</v>
      </c>
      <c r="P248" s="11">
        <f t="shared" ca="1" si="47"/>
        <v>42</v>
      </c>
      <c r="Q248" s="17">
        <f ca="1">((MIN(OTCapPct*Model!$G$24,MAX(0,(($J248*(1+0.5*Acuity_M))/(Cap_Doc*$C248*(1-$G248)))-Model!$G$24)))*OTCost_Doc)+((MIN(OTCapPct*Model!$G$6,MAX(0,(($J248)/(Cap_Nurse*$C248*(1-$H248)))-Model!$G$6)))*OTCost_Nurse)+((MIN(OTCapPct*Model!$G$15,MAX(0,(($J248)/(Cap_Tech*$C248*(1-$I248)))-Model!$G$15)))*OTCost_Tech)+((MIN(OTCapPct*Model!$G$25,MAX(0,(($K248*(1+0.5*Acuity_E))/(Cap_Doc*$C248*(1-$G248)))-Model!$G$25)))*OTCost_Doc)+((MIN(OTCapPct*Model!$G$7,MAX(0,(($K248)/(Cap_Nurse*$C248*(1-$H248)))-Model!$G$7)))*OTCost_Nurse)+((MIN(OTCapPct*Model!$G$16,MAX(0,(($K248)/(Cap_Tech*$C248*(1-$I248)))-Model!$G$16)))*OTCost_Tech)+((MIN(OTCapPct*Model!$G$26,MAX(0,(($L248*(1+0.5*Acuity_N))/(Cap_Doc*$C248*(1-$G248)))-Model!$G$26)))*OTCost_Doc)+((MIN(OTCapPct*Model!$G$8,MAX(0,(($L248)/(Cap_Nurse*$C248*(1-$H248)))-Model!$G$8)))*OTCost_Nurse)+((MIN(OTCapPct*Model!$G$17,MAX(0,(($L248)/(Cap_Tech*$C248*(1-$I248)))-Model!$G$17)))*OTCost_Tech)</f>
        <v>46650.386902057093</v>
      </c>
    </row>
    <row r="249" spans="1:17" x14ac:dyDescent="0.25">
      <c r="A249" s="11">
        <v>245</v>
      </c>
      <c r="B249" s="11" t="str">
        <f t="shared" ca="1" si="36"/>
        <v>Severe</v>
      </c>
      <c r="C249" s="11">
        <f t="shared" ca="1" si="37"/>
        <v>0.8</v>
      </c>
      <c r="D249" s="11">
        <f t="shared" ca="1" si="38"/>
        <v>0</v>
      </c>
      <c r="E249" s="11">
        <f t="shared" ca="1" si="39"/>
        <v>1</v>
      </c>
      <c r="F249" s="36">
        <f t="shared" ca="1" si="40"/>
        <v>1.0979068332106623</v>
      </c>
      <c r="G249" s="11">
        <f t="shared" ca="1" si="41"/>
        <v>0</v>
      </c>
      <c r="H249" s="11">
        <f t="shared" ca="1" si="42"/>
        <v>6.1222625679787285E-2</v>
      </c>
      <c r="I249" s="11">
        <f t="shared" ca="1" si="43"/>
        <v>0</v>
      </c>
      <c r="J249" s="11">
        <f t="shared" ca="1" si="44"/>
        <v>102</v>
      </c>
      <c r="K249" s="11">
        <f t="shared" ca="1" si="45"/>
        <v>105</v>
      </c>
      <c r="L249" s="11">
        <f t="shared" ca="1" si="46"/>
        <v>63</v>
      </c>
      <c r="M249" s="11">
        <f ca="1">MAX(MAX(0,($J249*(1+0.5*Acuity_M))-(Model!$G$24*(1+OTCapPct)*(Cap_Doc*$C249*(1-$G249)))),MAX(0,($J249)-(Model!$G$6*(1+OTCapPct)*(Cap_Nurse*$C249*(1-$H249)))),MAX(0,($J249)-(Model!$G$15*(1+OTCapPct)*(Cap_Tech*$C249*(1-$I249)))),MAX(0,$J249-((BedsCurrent+BedsAdded)*ShiftHours*$F249/BedHr_M)),MAX(0,$J249*Acuity_M-(ImgBase+ImgExpOn*ImgExpAdd)),MAX(0,$J249-(LabBase+LabExpOn*LabExpAdd)))</f>
        <v>23.220000000000013</v>
      </c>
      <c r="N249" s="11">
        <f ca="1">MAX(MAX(0,($K249*(1+0.5*Acuity_E))-(Model!$G$25*(1+OTCapPct)*(Cap_Doc*$C249*(1-$G249)))),MAX(0,($K249)-(Model!$G$7*(1+OTCapPct)*(Cap_Nurse*$C249*(1-$H249)))),MAX(0,($K249)-(Model!$G$16*(1+OTCapPct)*(Cap_Tech*$C249*(1-$I249)))),MAX(0,$K249-((BedsCurrent+BedsAdded)*ShiftHours*$F249/BedHr_E)),MAX(0,$K249*Acuity_E-(ImgBase+ImgExpOn*ImgExpAdd)),MAX(0,$K249-(LabBase+LabExpOn*LabExpAdd)))</f>
        <v>10</v>
      </c>
      <c r="O249" s="11">
        <f ca="1">MAX(MAX(0,($L249*(1+0.5*Acuity_N))-(Model!$G$26*(1+OTCapPct)*(Cap_Doc*$C249*(1-$G249)))),MAX(0,($L249)-(Model!$G$8*(1+OTCapPct)*(Cap_Nurse*$C249*(1-$H249)))),MAX(0,($L249)-(Model!$G$17*(1+OTCapPct)*(Cap_Tech*$C249*(1-$I249)))),MAX(0,$L249-((BedsCurrent+BedsAdded)*ShiftHours*$F249/BedHr_N)),MAX(0,$L249*Acuity_N-(ImgBase+ImgExpOn*ImgExpAdd)),MAX(0,$L249-(LabBase+LabExpOn*LabExpAdd)))</f>
        <v>0.44999999999998863</v>
      </c>
      <c r="P249" s="11">
        <f t="shared" ca="1" si="47"/>
        <v>33.67</v>
      </c>
      <c r="Q249" s="17">
        <f ca="1">((MIN(OTCapPct*Model!$G$24,MAX(0,(($J249*(1+0.5*Acuity_M))/(Cap_Doc*$C249*(1-$G249)))-Model!$G$24)))*OTCost_Doc)+((MIN(OTCapPct*Model!$G$6,MAX(0,(($J249)/(Cap_Nurse*$C249*(1-$H249)))-Model!$G$6)))*OTCost_Nurse)+((MIN(OTCapPct*Model!$G$15,MAX(0,(($J249)/(Cap_Tech*$C249*(1-$I249)))-Model!$G$15)))*OTCost_Tech)+((MIN(OTCapPct*Model!$G$25,MAX(0,(($K249*(1+0.5*Acuity_E))/(Cap_Doc*$C249*(1-$G249)))-Model!$G$25)))*OTCost_Doc)+((MIN(OTCapPct*Model!$G$7,MAX(0,(($K249)/(Cap_Nurse*$C249*(1-$H249)))-Model!$G$7)))*OTCost_Nurse)+((MIN(OTCapPct*Model!$G$16,MAX(0,(($K249)/(Cap_Tech*$C249*(1-$I249)))-Model!$G$16)))*OTCost_Tech)+((MIN(OTCapPct*Model!$G$26,MAX(0,(($L249*(1+0.5*Acuity_N))/(Cap_Doc*$C249*(1-$G249)))-Model!$G$26)))*OTCost_Doc)+((MIN(OTCapPct*Model!$G$8,MAX(0,(($L249)/(Cap_Nurse*$C249*(1-$H249)))-Model!$G$8)))*OTCost_Nurse)+((MIN(OTCapPct*Model!$G$17,MAX(0,(($L249)/(Cap_Tech*$C249*(1-$I249)))-Model!$G$17)))*OTCost_Tech)</f>
        <v>82261.987658442333</v>
      </c>
    </row>
    <row r="250" spans="1:17" x14ac:dyDescent="0.25">
      <c r="A250" s="11">
        <v>246</v>
      </c>
      <c r="B250" s="11" t="str">
        <f t="shared" ca="1" si="36"/>
        <v>Normal</v>
      </c>
      <c r="C250" s="11">
        <f t="shared" ca="1" si="37"/>
        <v>1</v>
      </c>
      <c r="D250" s="11">
        <f t="shared" ca="1" si="38"/>
        <v>0</v>
      </c>
      <c r="E250" s="11">
        <f t="shared" ca="1" si="39"/>
        <v>2</v>
      </c>
      <c r="F250" s="36">
        <f t="shared" ca="1" si="40"/>
        <v>0.9109559043469595</v>
      </c>
      <c r="G250" s="11">
        <f t="shared" ca="1" si="41"/>
        <v>0.12380187991945693</v>
      </c>
      <c r="H250" s="11">
        <f t="shared" ca="1" si="42"/>
        <v>7.266436395192756E-2</v>
      </c>
      <c r="I250" s="11">
        <f t="shared" ca="1" si="43"/>
        <v>0.20785935704369679</v>
      </c>
      <c r="J250" s="11">
        <f t="shared" ca="1" si="44"/>
        <v>97</v>
      </c>
      <c r="K250" s="11">
        <f t="shared" ca="1" si="45"/>
        <v>145</v>
      </c>
      <c r="L250" s="11">
        <f t="shared" ca="1" si="46"/>
        <v>62</v>
      </c>
      <c r="M250" s="11">
        <f ca="1">MAX(MAX(0,($J250*(1+0.5*Acuity_M))-(Model!$G$24*(1+OTCapPct)*(Cap_Doc*$C250*(1-$G250)))),MAX(0,($J250)-(Model!$G$6*(1+OTCapPct)*(Cap_Nurse*$C250*(1-$H250)))),MAX(0,($J250)-(Model!$G$15*(1+OTCapPct)*(Cap_Tech*$C250*(1-$I250)))),MAX(0,$J250-((BedsCurrent+BedsAdded)*ShiftHours*$F250/BedHr_M)),MAX(0,$J250*Acuity_M-(ImgBase+ImgExpOn*ImgExpAdd)),MAX(0,$J250-(LabBase+LabExpOn*LabExpAdd)))</f>
        <v>9.0977114909389201</v>
      </c>
      <c r="N250" s="11">
        <f ca="1">MAX(MAX(0,($K250*(1+0.5*Acuity_E))-(Model!$G$25*(1+OTCapPct)*(Cap_Doc*$C250*(1-$G250)))),MAX(0,($K250)-(Model!$G$7*(1+OTCapPct)*(Cap_Nurse*$C250*(1-$H250)))),MAX(0,($K250)-(Model!$G$16*(1+OTCapPct)*(Cap_Tech*$C250*(1-$I250)))),MAX(0,$K250-((BedsCurrent+BedsAdded)*ShiftHours*$F250/BedHr_E)),MAX(0,$K250*Acuity_E-(ImgBase+ImgExpOn*ImgExpAdd)),MAX(0,$K250-(LabBase+LabExpOn*LabExpAdd)))</f>
        <v>50</v>
      </c>
      <c r="O250" s="11">
        <f ca="1">MAX(MAX(0,($L250*(1+0.5*Acuity_N))-(Model!$G$26*(1+OTCapPct)*(Cap_Doc*$C250*(1-$G250)))),MAX(0,($L250)-(Model!$G$8*(1+OTCapPct)*(Cap_Nurse*$C250*(1-$H250)))),MAX(0,($L250)-(Model!$G$17*(1+OTCapPct)*(Cap_Tech*$C250*(1-$I250)))),MAX(0,$L250-((BedsCurrent+BedsAdded)*ShiftHours*$F250/BedHr_N)),MAX(0,$L250*Acuity_N-(ImgBase+ImgExpOn*ImgExpAdd)),MAX(0,$L250-(LabBase+LabExpOn*LabExpAdd)))</f>
        <v>0</v>
      </c>
      <c r="P250" s="11">
        <f t="shared" ca="1" si="47"/>
        <v>59.09771149093892</v>
      </c>
      <c r="Q250" s="17">
        <f ca="1">((MIN(OTCapPct*Model!$G$24,MAX(0,(($J250*(1+0.5*Acuity_M))/(Cap_Doc*$C250*(1-$G250)))-Model!$G$24)))*OTCost_Doc)+((MIN(OTCapPct*Model!$G$6,MAX(0,(($J250)/(Cap_Nurse*$C250*(1-$H250)))-Model!$G$6)))*OTCost_Nurse)+((MIN(OTCapPct*Model!$G$15,MAX(0,(($J250)/(Cap_Tech*$C250*(1-$I250)))-Model!$G$15)))*OTCost_Tech)+((MIN(OTCapPct*Model!$G$25,MAX(0,(($K250*(1+0.5*Acuity_E))/(Cap_Doc*$C250*(1-$G250)))-Model!$G$25)))*OTCost_Doc)+((MIN(OTCapPct*Model!$G$7,MAX(0,(($K250)/(Cap_Nurse*$C250*(1-$H250)))-Model!$G$7)))*OTCost_Nurse)+((MIN(OTCapPct*Model!$G$16,MAX(0,(($K250)/(Cap_Tech*$C250*(1-$I250)))-Model!$G$16)))*OTCost_Tech)+((MIN(OTCapPct*Model!$G$26,MAX(0,(($L250*(1+0.5*Acuity_N))/(Cap_Doc*$C250*(1-$G250)))-Model!$G$26)))*OTCost_Doc)+((MIN(OTCapPct*Model!$G$8,MAX(0,(($L250)/(Cap_Nurse*$C250*(1-$H250)))-Model!$G$8)))*OTCost_Nurse)+((MIN(OTCapPct*Model!$G$17,MAX(0,(($L250)/(Cap_Tech*$C250*(1-$I250)))-Model!$G$17)))*OTCost_Tech)</f>
        <v>83689.455379818843</v>
      </c>
    </row>
    <row r="251" spans="1:17" x14ac:dyDescent="0.25">
      <c r="A251" s="11">
        <v>247</v>
      </c>
      <c r="B251" s="11" t="str">
        <f t="shared" ca="1" si="36"/>
        <v>Normal</v>
      </c>
      <c r="C251" s="11">
        <f t="shared" ca="1" si="37"/>
        <v>1</v>
      </c>
      <c r="D251" s="11">
        <f t="shared" ca="1" si="38"/>
        <v>0</v>
      </c>
      <c r="E251" s="11">
        <f t="shared" ca="1" si="39"/>
        <v>1</v>
      </c>
      <c r="F251" s="36">
        <f t="shared" ca="1" si="40"/>
        <v>0.94226313412212415</v>
      </c>
      <c r="G251" s="11">
        <f t="shared" ca="1" si="41"/>
        <v>4.368507891126009E-2</v>
      </c>
      <c r="H251" s="11">
        <f t="shared" ca="1" si="42"/>
        <v>8.8380380981904164E-2</v>
      </c>
      <c r="I251" s="11">
        <f t="shared" ca="1" si="43"/>
        <v>0</v>
      </c>
      <c r="J251" s="11">
        <f t="shared" ca="1" si="44"/>
        <v>105</v>
      </c>
      <c r="K251" s="11">
        <f t="shared" ca="1" si="45"/>
        <v>131</v>
      </c>
      <c r="L251" s="11">
        <f t="shared" ca="1" si="46"/>
        <v>60</v>
      </c>
      <c r="M251" s="11">
        <f ca="1">MAX(MAX(0,($J251*(1+0.5*Acuity_M))-(Model!$G$24*(1+OTCapPct)*(Cap_Doc*$C251*(1-$G251)))),MAX(0,($J251)-(Model!$G$6*(1+OTCapPct)*(Cap_Nurse*$C251*(1-$H251)))),MAX(0,($J251)-(Model!$G$15*(1+OTCapPct)*(Cap_Tech*$C251*(1-$I251)))),MAX(0,$J251-((BedsCurrent+BedsAdded)*ShiftHours*$F251/BedHr_M)),MAX(0,$J251*Acuity_M-(ImgBase+ImgExpOn*ImgExpAdd)),MAX(0,$J251-(LabBase+LabExpOn*LabExpAdd)))</f>
        <v>10</v>
      </c>
      <c r="N251" s="11">
        <f ca="1">MAX(MAX(0,($K251*(1+0.5*Acuity_E))-(Model!$G$25*(1+OTCapPct)*(Cap_Doc*$C251*(1-$G251)))),MAX(0,($K251)-(Model!$G$7*(1+OTCapPct)*(Cap_Nurse*$C251*(1-$H251)))),MAX(0,($K251)-(Model!$G$16*(1+OTCapPct)*(Cap_Tech*$C251*(1-$I251)))),MAX(0,$K251-((BedsCurrent+BedsAdded)*ShiftHours*$F251/BedHr_E)),MAX(0,$K251*Acuity_E-(ImgBase+ImgExpOn*ImgExpAdd)),MAX(0,$K251-(LabBase+LabExpOn*LabExpAdd)))</f>
        <v>36</v>
      </c>
      <c r="O251" s="11">
        <f ca="1">MAX(MAX(0,($L251*(1+0.5*Acuity_N))-(Model!$G$26*(1+OTCapPct)*(Cap_Doc*$C251*(1-$G251)))),MAX(0,($L251)-(Model!$G$8*(1+OTCapPct)*(Cap_Nurse*$C251*(1-$H251)))),MAX(0,($L251)-(Model!$G$17*(1+OTCapPct)*(Cap_Tech*$C251*(1-$I251)))),MAX(0,$L251-((BedsCurrent+BedsAdded)*ShiftHours*$F251/BedHr_N)),MAX(0,$L251*Acuity_N-(ImgBase+ImgExpOn*ImgExpAdd)),MAX(0,$L251-(LabBase+LabExpOn*LabExpAdd)))</f>
        <v>0</v>
      </c>
      <c r="P251" s="11">
        <f t="shared" ca="1" si="47"/>
        <v>46</v>
      </c>
      <c r="Q251" s="17">
        <f ca="1">((MIN(OTCapPct*Model!$G$24,MAX(0,(($J251*(1+0.5*Acuity_M))/(Cap_Doc*$C251*(1-$G251)))-Model!$G$24)))*OTCost_Doc)+((MIN(OTCapPct*Model!$G$6,MAX(0,(($J251)/(Cap_Nurse*$C251*(1-$H251)))-Model!$G$6)))*OTCost_Nurse)+((MIN(OTCapPct*Model!$G$15,MAX(0,(($J251)/(Cap_Tech*$C251*(1-$I251)))-Model!$G$15)))*OTCost_Tech)+((MIN(OTCapPct*Model!$G$25,MAX(0,(($K251*(1+0.5*Acuity_E))/(Cap_Doc*$C251*(1-$G251)))-Model!$G$25)))*OTCost_Doc)+((MIN(OTCapPct*Model!$G$7,MAX(0,(($K251)/(Cap_Nurse*$C251*(1-$H251)))-Model!$G$7)))*OTCost_Nurse)+((MIN(OTCapPct*Model!$G$16,MAX(0,(($K251)/(Cap_Tech*$C251*(1-$I251)))-Model!$G$16)))*OTCost_Tech)+((MIN(OTCapPct*Model!$G$26,MAX(0,(($L251*(1+0.5*Acuity_N))/(Cap_Doc*$C251*(1-$G251)))-Model!$G$26)))*OTCost_Doc)+((MIN(OTCapPct*Model!$G$8,MAX(0,(($L251)/(Cap_Nurse*$C251*(1-$H251)))-Model!$G$8)))*OTCost_Nurse)+((MIN(OTCapPct*Model!$G$17,MAX(0,(($L251)/(Cap_Tech*$C251*(1-$I251)))-Model!$G$17)))*OTCost_Tech)</f>
        <v>68156.421685612615</v>
      </c>
    </row>
    <row r="252" spans="1:17" x14ac:dyDescent="0.25">
      <c r="A252" s="11">
        <v>248</v>
      </c>
      <c r="B252" s="11" t="str">
        <f t="shared" ca="1" si="36"/>
        <v>Complex</v>
      </c>
      <c r="C252" s="11">
        <f t="shared" ca="1" si="37"/>
        <v>0.9</v>
      </c>
      <c r="D252" s="11">
        <f t="shared" ca="1" si="38"/>
        <v>0</v>
      </c>
      <c r="E252" s="11">
        <f t="shared" ca="1" si="39"/>
        <v>3</v>
      </c>
      <c r="F252" s="36">
        <f t="shared" ca="1" si="40"/>
        <v>1.1358201798445287</v>
      </c>
      <c r="G252" s="11">
        <f t="shared" ca="1" si="41"/>
        <v>3.1802008082231083E-2</v>
      </c>
      <c r="H252" s="11">
        <f t="shared" ca="1" si="42"/>
        <v>2.1615243755769883E-2</v>
      </c>
      <c r="I252" s="11">
        <f t="shared" ca="1" si="43"/>
        <v>1.9809818059469748E-2</v>
      </c>
      <c r="J252" s="11">
        <f t="shared" ca="1" si="44"/>
        <v>96</v>
      </c>
      <c r="K252" s="11">
        <f t="shared" ca="1" si="45"/>
        <v>144</v>
      </c>
      <c r="L252" s="11">
        <f t="shared" ca="1" si="46"/>
        <v>82</v>
      </c>
      <c r="M252" s="11">
        <f ca="1">MAX(MAX(0,($J252*(1+0.5*Acuity_M))-(Model!$G$24*(1+OTCapPct)*(Cap_Doc*$C252*(1-$G252)))),MAX(0,($J252)-(Model!$G$6*(1+OTCapPct)*(Cap_Nurse*$C252*(1-$H252)))),MAX(0,($J252)-(Model!$G$15*(1+OTCapPct)*(Cap_Tech*$C252*(1-$I252)))),MAX(0,$J252-((BedsCurrent+BedsAdded)*ShiftHours*$F252/BedHr_M)),MAX(0,$J252*Acuity_M-(ImgBase+ImgExpOn*ImgExpAdd)),MAX(0,$J252-(LabBase+LabExpOn*LabExpAdd)))</f>
        <v>8.5299533183259086</v>
      </c>
      <c r="N252" s="11">
        <f ca="1">MAX(MAX(0,($K252*(1+0.5*Acuity_E))-(Model!$G$25*(1+OTCapPct)*(Cap_Doc*$C252*(1-$G252)))),MAX(0,($K252)-(Model!$G$7*(1+OTCapPct)*(Cap_Nurse*$C252*(1-$H252)))),MAX(0,($K252)-(Model!$G$16*(1+OTCapPct)*(Cap_Tech*$C252*(1-$I252)))),MAX(0,$K252-((BedsCurrent+BedsAdded)*ShiftHours*$F252/BedHr_E)),MAX(0,$K252*Acuity_E-(ImgBase+ImgExpOn*ImgExpAdd)),MAX(0,$K252-(LabBase+LabExpOn*LabExpAdd)))</f>
        <v>49</v>
      </c>
      <c r="O252" s="11">
        <f ca="1">MAX(MAX(0,($L252*(1+0.5*Acuity_N))-(Model!$G$26*(1+OTCapPct)*(Cap_Doc*$C252*(1-$G252)))),MAX(0,($L252)-(Model!$G$8*(1+OTCapPct)*(Cap_Nurse*$C252*(1-$H252)))),MAX(0,($L252)-(Model!$G$17*(1+OTCapPct)*(Cap_Tech*$C252*(1-$I252)))),MAX(0,$L252-((BedsCurrent+BedsAdded)*ShiftHours*$F252/BedHr_N)),MAX(0,$L252*Acuity_N-(ImgBase+ImgExpOn*ImgExpAdd)),MAX(0,$L252-(LabBase+LabExpOn*LabExpAdd)))</f>
        <v>15.875962654660711</v>
      </c>
      <c r="P252" s="11">
        <f t="shared" ca="1" si="47"/>
        <v>73.40591597298662</v>
      </c>
      <c r="Q252" s="17">
        <f ca="1">((MIN(OTCapPct*Model!$G$24,MAX(0,(($J252*(1+0.5*Acuity_M))/(Cap_Doc*$C252*(1-$G252)))-Model!$G$24)))*OTCost_Doc)+((MIN(OTCapPct*Model!$G$6,MAX(0,(($J252)/(Cap_Nurse*$C252*(1-$H252)))-Model!$G$6)))*OTCost_Nurse)+((MIN(OTCapPct*Model!$G$15,MAX(0,(($J252)/(Cap_Tech*$C252*(1-$I252)))-Model!$G$15)))*OTCost_Tech)+((MIN(OTCapPct*Model!$G$25,MAX(0,(($K252*(1+0.5*Acuity_E))/(Cap_Doc*$C252*(1-$G252)))-Model!$G$25)))*OTCost_Doc)+((MIN(OTCapPct*Model!$G$7,MAX(0,(($K252)/(Cap_Nurse*$C252*(1-$H252)))-Model!$G$7)))*OTCost_Nurse)+((MIN(OTCapPct*Model!$G$16,MAX(0,(($K252)/(Cap_Tech*$C252*(1-$I252)))-Model!$G$16)))*OTCost_Tech)+((MIN(OTCapPct*Model!$G$26,MAX(0,(($L252*(1+0.5*Acuity_N))/(Cap_Doc*$C252*(1-$G252)))-Model!$G$26)))*OTCost_Doc)+((MIN(OTCapPct*Model!$G$8,MAX(0,(($L252)/(Cap_Nurse*$C252*(1-$H252)))-Model!$G$8)))*OTCost_Nurse)+((MIN(OTCapPct*Model!$G$17,MAX(0,(($L252)/(Cap_Tech*$C252*(1-$I252)))-Model!$G$17)))*OTCost_Tech)</f>
        <v>100004.15031214104</v>
      </c>
    </row>
    <row r="253" spans="1:17" x14ac:dyDescent="0.25">
      <c r="A253" s="11">
        <v>249</v>
      </c>
      <c r="B253" s="11" t="str">
        <f t="shared" ca="1" si="36"/>
        <v>Normal</v>
      </c>
      <c r="C253" s="11">
        <f t="shared" ca="1" si="37"/>
        <v>1</v>
      </c>
      <c r="D253" s="11">
        <f t="shared" ca="1" si="38"/>
        <v>0</v>
      </c>
      <c r="E253" s="11">
        <f t="shared" ca="1" si="39"/>
        <v>3</v>
      </c>
      <c r="F253" s="36">
        <f t="shared" ca="1" si="40"/>
        <v>1.0523049575973298</v>
      </c>
      <c r="G253" s="11">
        <f t="shared" ca="1" si="41"/>
        <v>6.6267920905588751E-2</v>
      </c>
      <c r="H253" s="11">
        <f t="shared" ca="1" si="42"/>
        <v>0.1202448414149383</v>
      </c>
      <c r="I253" s="11">
        <f t="shared" ca="1" si="43"/>
        <v>1.2510659813156022E-2</v>
      </c>
      <c r="J253" s="11">
        <f t="shared" ca="1" si="44"/>
        <v>88</v>
      </c>
      <c r="K253" s="11">
        <f t="shared" ca="1" si="45"/>
        <v>160</v>
      </c>
      <c r="L253" s="11">
        <f t="shared" ca="1" si="46"/>
        <v>54</v>
      </c>
      <c r="M253" s="11">
        <f ca="1">MAX(MAX(0,($J253*(1+0.5*Acuity_M))-(Model!$G$24*(1+OTCapPct)*(Cap_Doc*$C253*(1-$G253)))),MAX(0,($J253)-(Model!$G$6*(1+OTCapPct)*(Cap_Nurse*$C253*(1-$H253)))),MAX(0,($J253)-(Model!$G$15*(1+OTCapPct)*(Cap_Tech*$C253*(1-$I253)))),MAX(0,$J253-((BedsCurrent+BedsAdded)*ShiftHours*$F253/BedHr_M)),MAX(0,$J253*Acuity_M-(ImgBase+ImgExpOn*ImgExpAdd)),MAX(0,$J253-(LabBase+LabExpOn*LabExpAdd)))</f>
        <v>0</v>
      </c>
      <c r="N253" s="11">
        <f ca="1">MAX(MAX(0,($K253*(1+0.5*Acuity_E))-(Model!$G$25*(1+OTCapPct)*(Cap_Doc*$C253*(1-$G253)))),MAX(0,($K253)-(Model!$G$7*(1+OTCapPct)*(Cap_Nurse*$C253*(1-$H253)))),MAX(0,($K253)-(Model!$G$16*(1+OTCapPct)*(Cap_Tech*$C253*(1-$I253)))),MAX(0,$K253-((BedsCurrent+BedsAdded)*ShiftHours*$F253/BedHr_E)),MAX(0,$K253*Acuity_E-(ImgBase+ImgExpOn*ImgExpAdd)),MAX(0,$K253-(LabBase+LabExpOn*LabExpAdd)))</f>
        <v>65</v>
      </c>
      <c r="O253" s="11">
        <f ca="1">MAX(MAX(0,($L253*(1+0.5*Acuity_N))-(Model!$G$26*(1+OTCapPct)*(Cap_Doc*$C253*(1-$G253)))),MAX(0,($L253)-(Model!$G$8*(1+OTCapPct)*(Cap_Nurse*$C253*(1-$H253)))),MAX(0,($L253)-(Model!$G$17*(1+OTCapPct)*(Cap_Tech*$C253*(1-$I253)))),MAX(0,$L253-((BedsCurrent+BedsAdded)*ShiftHours*$F253/BedHr_N)),MAX(0,$L253*Acuity_N-(ImgBase+ImgExpOn*ImgExpAdd)),MAX(0,$L253-(LabBase+LabExpOn*LabExpAdd)))</f>
        <v>0</v>
      </c>
      <c r="P253" s="11">
        <f t="shared" ca="1" si="47"/>
        <v>65</v>
      </c>
      <c r="Q253" s="17">
        <f ca="1">((MIN(OTCapPct*Model!$G$24,MAX(0,(($J253*(1+0.5*Acuity_M))/(Cap_Doc*$C253*(1-$G253)))-Model!$G$24)))*OTCost_Doc)+((MIN(OTCapPct*Model!$G$6,MAX(0,(($J253)/(Cap_Nurse*$C253*(1-$H253)))-Model!$G$6)))*OTCost_Nurse)+((MIN(OTCapPct*Model!$G$15,MAX(0,(($J253)/(Cap_Tech*$C253*(1-$I253)))-Model!$G$15)))*OTCost_Tech)+((MIN(OTCapPct*Model!$G$25,MAX(0,(($K253*(1+0.5*Acuity_E))/(Cap_Doc*$C253*(1-$G253)))-Model!$G$25)))*OTCost_Doc)+((MIN(OTCapPct*Model!$G$7,MAX(0,(($K253)/(Cap_Nurse*$C253*(1-$H253)))-Model!$G$7)))*OTCost_Nurse)+((MIN(OTCapPct*Model!$G$16,MAX(0,(($K253)/(Cap_Tech*$C253*(1-$I253)))-Model!$G$16)))*OTCost_Tech)+((MIN(OTCapPct*Model!$G$26,MAX(0,(($L253*(1+0.5*Acuity_N))/(Cap_Doc*$C253*(1-$G253)))-Model!$G$26)))*OTCost_Doc)+((MIN(OTCapPct*Model!$G$8,MAX(0,(($L253)/(Cap_Nurse*$C253*(1-$H253)))-Model!$G$8)))*OTCost_Nurse)+((MIN(OTCapPct*Model!$G$17,MAX(0,(($L253)/(Cap_Tech*$C253*(1-$I253)))-Model!$G$17)))*OTCost_Tech)</f>
        <v>64516.078740438403</v>
      </c>
    </row>
    <row r="254" spans="1:17" x14ac:dyDescent="0.25">
      <c r="A254" s="11">
        <v>250</v>
      </c>
      <c r="B254" s="11" t="str">
        <f t="shared" ca="1" si="36"/>
        <v>Normal</v>
      </c>
      <c r="C254" s="11">
        <f t="shared" ca="1" si="37"/>
        <v>1</v>
      </c>
      <c r="D254" s="11">
        <f t="shared" ca="1" si="38"/>
        <v>0</v>
      </c>
      <c r="E254" s="11">
        <f t="shared" ca="1" si="39"/>
        <v>3</v>
      </c>
      <c r="F254" s="36">
        <f t="shared" ca="1" si="40"/>
        <v>0.81400833592953092</v>
      </c>
      <c r="G254" s="11">
        <f t="shared" ca="1" si="41"/>
        <v>0</v>
      </c>
      <c r="H254" s="11">
        <f t="shared" ca="1" si="42"/>
        <v>8.3786153597004837E-2</v>
      </c>
      <c r="I254" s="11">
        <f t="shared" ca="1" si="43"/>
        <v>5.6144824984482956E-2</v>
      </c>
      <c r="J254" s="11">
        <f t="shared" ca="1" si="44"/>
        <v>82</v>
      </c>
      <c r="K254" s="11">
        <f t="shared" ca="1" si="45"/>
        <v>109</v>
      </c>
      <c r="L254" s="11">
        <f t="shared" ca="1" si="46"/>
        <v>55</v>
      </c>
      <c r="M254" s="11">
        <f ca="1">MAX(MAX(0,($J254*(1+0.5*Acuity_M))-(Model!$G$24*(1+OTCapPct)*(Cap_Doc*$C254*(1-$G254)))),MAX(0,($J254)-(Model!$G$6*(1+OTCapPct)*(Cap_Nurse*$C254*(1-$H254)))),MAX(0,($J254)-(Model!$G$15*(1+OTCapPct)*(Cap_Tech*$C254*(1-$I254)))),MAX(0,$J254-((BedsCurrent+BedsAdded)*ShiftHours*$F254/BedHr_M)),MAX(0,$J254*Acuity_M-(ImgBase+ImgExpOn*ImgExpAdd)),MAX(0,$J254-(LabBase+LabExpOn*LabExpAdd)))</f>
        <v>0</v>
      </c>
      <c r="N254" s="11">
        <f ca="1">MAX(MAX(0,($K254*(1+0.5*Acuity_E))-(Model!$G$25*(1+OTCapPct)*(Cap_Doc*$C254*(1-$G254)))),MAX(0,($K254)-(Model!$G$7*(1+OTCapPct)*(Cap_Nurse*$C254*(1-$H254)))),MAX(0,($K254)-(Model!$G$16*(1+OTCapPct)*(Cap_Tech*$C254*(1-$I254)))),MAX(0,$K254-((BedsCurrent+BedsAdded)*ShiftHours*$F254/BedHr_E)),MAX(0,$K254*Acuity_E-(ImgBase+ImgExpOn*ImgExpAdd)),MAX(0,$K254-(LabBase+LabExpOn*LabExpAdd)))</f>
        <v>20.435893050867037</v>
      </c>
      <c r="O254" s="11">
        <f ca="1">MAX(MAX(0,($L254*(1+0.5*Acuity_N))-(Model!$G$26*(1+OTCapPct)*(Cap_Doc*$C254*(1-$G254)))),MAX(0,($L254)-(Model!$G$8*(1+OTCapPct)*(Cap_Nurse*$C254*(1-$H254)))),MAX(0,($L254)-(Model!$G$17*(1+OTCapPct)*(Cap_Tech*$C254*(1-$I254)))),MAX(0,$L254-((BedsCurrent+BedsAdded)*ShiftHours*$F254/BedHr_N)),MAX(0,$L254*Acuity_N-(ImgBase+ImgExpOn*ImgExpAdd)),MAX(0,$L254-(LabBase+LabExpOn*LabExpAdd)))</f>
        <v>0</v>
      </c>
      <c r="P254" s="11">
        <f t="shared" ca="1" si="47"/>
        <v>20.435893050867037</v>
      </c>
      <c r="Q254" s="17">
        <f ca="1">((MIN(OTCapPct*Model!$G$24,MAX(0,(($J254*(1+0.5*Acuity_M))/(Cap_Doc*$C254*(1-$G254)))-Model!$G$24)))*OTCost_Doc)+((MIN(OTCapPct*Model!$G$6,MAX(0,(($J254)/(Cap_Nurse*$C254*(1-$H254)))-Model!$G$6)))*OTCost_Nurse)+((MIN(OTCapPct*Model!$G$15,MAX(0,(($J254)/(Cap_Tech*$C254*(1-$I254)))-Model!$G$15)))*OTCost_Tech)+((MIN(OTCapPct*Model!$G$25,MAX(0,(($K254*(1+0.5*Acuity_E))/(Cap_Doc*$C254*(1-$G254)))-Model!$G$25)))*OTCost_Doc)+((MIN(OTCapPct*Model!$G$7,MAX(0,(($K254)/(Cap_Nurse*$C254*(1-$H254)))-Model!$G$7)))*OTCost_Nurse)+((MIN(OTCapPct*Model!$G$16,MAX(0,(($K254)/(Cap_Tech*$C254*(1-$I254)))-Model!$G$16)))*OTCost_Tech)+((MIN(OTCapPct*Model!$G$26,MAX(0,(($L254*(1+0.5*Acuity_N))/(Cap_Doc*$C254*(1-$G254)))-Model!$G$26)))*OTCost_Doc)+((MIN(OTCapPct*Model!$G$8,MAX(0,(($L254)/(Cap_Nurse*$C254*(1-$H254)))-Model!$G$8)))*OTCost_Nurse)+((MIN(OTCapPct*Model!$G$17,MAX(0,(($L254)/(Cap_Tech*$C254*(1-$I254)))-Model!$G$17)))*OTCost_Tech)</f>
        <v>3743.4931389588232</v>
      </c>
    </row>
    <row r="255" spans="1:17" x14ac:dyDescent="0.25">
      <c r="A255" s="11">
        <v>251</v>
      </c>
      <c r="B255" s="11" t="str">
        <f t="shared" ca="1" si="36"/>
        <v>Complex</v>
      </c>
      <c r="C255" s="11">
        <f t="shared" ca="1" si="37"/>
        <v>0.9</v>
      </c>
      <c r="D255" s="11">
        <f t="shared" ca="1" si="38"/>
        <v>0</v>
      </c>
      <c r="E255" s="11">
        <f t="shared" ca="1" si="39"/>
        <v>3</v>
      </c>
      <c r="F255" s="36">
        <f t="shared" ca="1" si="40"/>
        <v>1.0054403792455089</v>
      </c>
      <c r="G255" s="11">
        <f t="shared" ca="1" si="41"/>
        <v>5.0302057795035299E-2</v>
      </c>
      <c r="H255" s="11">
        <f t="shared" ca="1" si="42"/>
        <v>7.8798403467098946E-2</v>
      </c>
      <c r="I255" s="11">
        <f t="shared" ca="1" si="43"/>
        <v>0.1717000353808823</v>
      </c>
      <c r="J255" s="11">
        <f t="shared" ca="1" si="44"/>
        <v>52</v>
      </c>
      <c r="K255" s="11">
        <f t="shared" ca="1" si="45"/>
        <v>138</v>
      </c>
      <c r="L255" s="11">
        <f t="shared" ca="1" si="46"/>
        <v>70</v>
      </c>
      <c r="M255" s="11">
        <f ca="1">MAX(MAX(0,($J255*(1+0.5*Acuity_M))-(Model!$G$24*(1+OTCapPct)*(Cap_Doc*$C255*(1-$G255)))),MAX(0,($J255)-(Model!$G$6*(1+OTCapPct)*(Cap_Nurse*$C255*(1-$H255)))),MAX(0,($J255)-(Model!$G$15*(1+OTCapPct)*(Cap_Tech*$C255*(1-$I255)))),MAX(0,$J255-((BedsCurrent+BedsAdded)*ShiftHours*$F255/BedHr_M)),MAX(0,$J255*Acuity_M-(ImgBase+ImgExpOn*ImgExpAdd)),MAX(0,$J255-(LabBase+LabExpOn*LabExpAdd)))</f>
        <v>0</v>
      </c>
      <c r="N255" s="11">
        <f ca="1">MAX(MAX(0,($K255*(1+0.5*Acuity_E))-(Model!$G$25*(1+OTCapPct)*(Cap_Doc*$C255*(1-$G255)))),MAX(0,($K255)-(Model!$G$7*(1+OTCapPct)*(Cap_Nurse*$C255*(1-$H255)))),MAX(0,($K255)-(Model!$G$16*(1+OTCapPct)*(Cap_Tech*$C255*(1-$I255)))),MAX(0,$K255-((BedsCurrent+BedsAdded)*ShiftHours*$F255/BedHr_E)),MAX(0,$K255*Acuity_E-(ImgBase+ImgExpOn*ImgExpAdd)),MAX(0,$K255-(LabBase+LabExpOn*LabExpAdd)))</f>
        <v>43</v>
      </c>
      <c r="O255" s="11">
        <f ca="1">MAX(MAX(0,($L255*(1+0.5*Acuity_N))-(Model!$G$26*(1+OTCapPct)*(Cap_Doc*$C255*(1-$G255)))),MAX(0,($L255)-(Model!$G$8*(1+OTCapPct)*(Cap_Nurse*$C255*(1-$H255)))),MAX(0,($L255)-(Model!$G$17*(1+OTCapPct)*(Cap_Tech*$C255*(1-$I255)))),MAX(0,$L255-((BedsCurrent+BedsAdded)*ShiftHours*$F255/BedHr_N)),MAX(0,$L255*Acuity_N-(ImgBase+ImgExpOn*ImgExpAdd)),MAX(0,$L255-(LabBase+LabExpOn*LabExpAdd)))</f>
        <v>3.5744666813978654</v>
      </c>
      <c r="P255" s="11">
        <f t="shared" ca="1" si="47"/>
        <v>46.574466681397865</v>
      </c>
      <c r="Q255" s="17">
        <f ca="1">((MIN(OTCapPct*Model!$G$24,MAX(0,(($J255*(1+0.5*Acuity_M))/(Cap_Doc*$C255*(1-$G255)))-Model!$G$24)))*OTCost_Doc)+((MIN(OTCapPct*Model!$G$6,MAX(0,(($J255)/(Cap_Nurse*$C255*(1-$H255)))-Model!$G$6)))*OTCost_Nurse)+((MIN(OTCapPct*Model!$G$15,MAX(0,(($J255)/(Cap_Tech*$C255*(1-$I255)))-Model!$G$15)))*OTCost_Tech)+((MIN(OTCapPct*Model!$G$25,MAX(0,(($K255*(1+0.5*Acuity_E))/(Cap_Doc*$C255*(1-$G255)))-Model!$G$25)))*OTCost_Doc)+((MIN(OTCapPct*Model!$G$7,MAX(0,(($K255)/(Cap_Nurse*$C255*(1-$H255)))-Model!$G$7)))*OTCost_Nurse)+((MIN(OTCapPct*Model!$G$16,MAX(0,(($K255)/(Cap_Tech*$C255*(1-$I255)))-Model!$G$16)))*OTCost_Tech)+((MIN(OTCapPct*Model!$G$26,MAX(0,(($L255*(1+0.5*Acuity_N))/(Cap_Doc*$C255*(1-$G255)))-Model!$G$26)))*OTCost_Doc)+((MIN(OTCapPct*Model!$G$8,MAX(0,(($L255)/(Cap_Nurse*$C255*(1-$H255)))-Model!$G$8)))*OTCost_Nurse)+((MIN(OTCapPct*Model!$G$17,MAX(0,(($L255)/(Cap_Tech*$C255*(1-$I255)))-Model!$G$17)))*OTCost_Tech)</f>
        <v>65758.42685211917</v>
      </c>
    </row>
    <row r="256" spans="1:17" x14ac:dyDescent="0.25">
      <c r="A256" s="11">
        <v>252</v>
      </c>
      <c r="B256" s="11" t="str">
        <f t="shared" ca="1" si="36"/>
        <v>Complex</v>
      </c>
      <c r="C256" s="11">
        <f t="shared" ca="1" si="37"/>
        <v>0.9</v>
      </c>
      <c r="D256" s="11">
        <f t="shared" ca="1" si="38"/>
        <v>0</v>
      </c>
      <c r="E256" s="11">
        <f t="shared" ca="1" si="39"/>
        <v>2</v>
      </c>
      <c r="F256" s="36">
        <f t="shared" ca="1" si="40"/>
        <v>1.1364120844513341</v>
      </c>
      <c r="G256" s="11">
        <f t="shared" ca="1" si="41"/>
        <v>4.9942434121324632E-2</v>
      </c>
      <c r="H256" s="11">
        <f t="shared" ca="1" si="42"/>
        <v>6.0295155484700873E-2</v>
      </c>
      <c r="I256" s="11">
        <f t="shared" ca="1" si="43"/>
        <v>0</v>
      </c>
      <c r="J256" s="11">
        <f t="shared" ca="1" si="44"/>
        <v>80</v>
      </c>
      <c r="K256" s="11">
        <f t="shared" ca="1" si="45"/>
        <v>145</v>
      </c>
      <c r="L256" s="11">
        <f t="shared" ca="1" si="46"/>
        <v>70</v>
      </c>
      <c r="M256" s="11">
        <f ca="1">MAX(MAX(0,($J256*(1+0.5*Acuity_M))-(Model!$G$24*(1+OTCapPct)*(Cap_Doc*$C256*(1-$G256)))),MAX(0,($J256)-(Model!$G$6*(1+OTCapPct)*(Cap_Nurse*$C256*(1-$H256)))),MAX(0,($J256)-(Model!$G$15*(1+OTCapPct)*(Cap_Tech*$C256*(1-$I256)))),MAX(0,$J256-((BedsCurrent+BedsAdded)*ShiftHours*$F256/BedHr_M)),MAX(0,$J256*Acuity_M-(ImgBase+ImgExpOn*ImgExpAdd)),MAX(0,$J256-(LabBase+LabExpOn*LabExpAdd)))</f>
        <v>0</v>
      </c>
      <c r="N256" s="11">
        <f ca="1">MAX(MAX(0,($K256*(1+0.5*Acuity_E))-(Model!$G$25*(1+OTCapPct)*(Cap_Doc*$C256*(1-$G256)))),MAX(0,($K256)-(Model!$G$7*(1+OTCapPct)*(Cap_Nurse*$C256*(1-$H256)))),MAX(0,($K256)-(Model!$G$16*(1+OTCapPct)*(Cap_Tech*$C256*(1-$I256)))),MAX(0,$K256-((BedsCurrent+BedsAdded)*ShiftHours*$F256/BedHr_E)),MAX(0,$K256*Acuity_E-(ImgBase+ImgExpOn*ImgExpAdd)),MAX(0,$K256-(LabBase+LabExpOn*LabExpAdd)))</f>
        <v>50</v>
      </c>
      <c r="O256" s="11">
        <f ca="1">MAX(MAX(0,($L256*(1+0.5*Acuity_N))-(Model!$G$26*(1+OTCapPct)*(Cap_Doc*$C256*(1-$G256)))),MAX(0,($L256)-(Model!$G$8*(1+OTCapPct)*(Cap_Nurse*$C256*(1-$H256)))),MAX(0,($L256)-(Model!$G$17*(1+OTCapPct)*(Cap_Tech*$C256*(1-$I256)))),MAX(0,$L256-((BedsCurrent+BedsAdded)*ShiftHours*$F256/BedHr_N)),MAX(0,$L256*Acuity_N-(ImgBase+ImgExpOn*ImgExpAdd)),MAX(0,$L256-(LabBase+LabExpOn*LabExpAdd)))</f>
        <v>3.5453371638272984</v>
      </c>
      <c r="P256" s="11">
        <f t="shared" ca="1" si="47"/>
        <v>53.545337163827298</v>
      </c>
      <c r="Q256" s="17">
        <f ca="1">((MIN(OTCapPct*Model!$G$24,MAX(0,(($J256*(1+0.5*Acuity_M))/(Cap_Doc*$C256*(1-$G256)))-Model!$G$24)))*OTCost_Doc)+((MIN(OTCapPct*Model!$G$6,MAX(0,(($J256)/(Cap_Nurse*$C256*(1-$H256)))-Model!$G$6)))*OTCost_Nurse)+((MIN(OTCapPct*Model!$G$15,MAX(0,(($J256)/(Cap_Tech*$C256*(1-$I256)))-Model!$G$15)))*OTCost_Tech)+((MIN(OTCapPct*Model!$G$25,MAX(0,(($K256*(1+0.5*Acuity_E))/(Cap_Doc*$C256*(1-$G256)))-Model!$G$25)))*OTCost_Doc)+((MIN(OTCapPct*Model!$G$7,MAX(0,(($K256)/(Cap_Nurse*$C256*(1-$H256)))-Model!$G$7)))*OTCost_Nurse)+((MIN(OTCapPct*Model!$G$16,MAX(0,(($K256)/(Cap_Tech*$C256*(1-$I256)))-Model!$G$16)))*OTCost_Tech)+((MIN(OTCapPct*Model!$G$26,MAX(0,(($L256*(1+0.5*Acuity_N))/(Cap_Doc*$C256*(1-$G256)))-Model!$G$26)))*OTCost_Doc)+((MIN(OTCapPct*Model!$G$8,MAX(0,(($L256)/(Cap_Nurse*$C256*(1-$H256)))-Model!$G$8)))*OTCost_Nurse)+((MIN(OTCapPct*Model!$G$17,MAX(0,(($L256)/(Cap_Tech*$C256*(1-$I256)))-Model!$G$17)))*OTCost_Tech)</f>
        <v>80335.371800191424</v>
      </c>
    </row>
    <row r="257" spans="1:17" x14ac:dyDescent="0.25">
      <c r="A257" s="11">
        <v>253</v>
      </c>
      <c r="B257" s="11" t="str">
        <f t="shared" ca="1" si="36"/>
        <v>Normal</v>
      </c>
      <c r="C257" s="11">
        <f t="shared" ca="1" si="37"/>
        <v>1</v>
      </c>
      <c r="D257" s="11">
        <f t="shared" ca="1" si="38"/>
        <v>0</v>
      </c>
      <c r="E257" s="11">
        <f t="shared" ca="1" si="39"/>
        <v>1</v>
      </c>
      <c r="F257" s="36">
        <f t="shared" ca="1" si="40"/>
        <v>1.0899356169674335</v>
      </c>
      <c r="G257" s="11">
        <f t="shared" ca="1" si="41"/>
        <v>0</v>
      </c>
      <c r="H257" s="11">
        <f t="shared" ca="1" si="42"/>
        <v>4.5002765489292454E-2</v>
      </c>
      <c r="I257" s="11">
        <f t="shared" ca="1" si="43"/>
        <v>1.5785882970200449E-2</v>
      </c>
      <c r="J257" s="11">
        <f t="shared" ca="1" si="44"/>
        <v>95</v>
      </c>
      <c r="K257" s="11">
        <f t="shared" ca="1" si="45"/>
        <v>129</v>
      </c>
      <c r="L257" s="11">
        <f t="shared" ca="1" si="46"/>
        <v>65</v>
      </c>
      <c r="M257" s="11">
        <f ca="1">MAX(MAX(0,($J257*(1+0.5*Acuity_M))-(Model!$G$24*(1+OTCapPct)*(Cap_Doc*$C257*(1-$G257)))),MAX(0,($J257)-(Model!$G$6*(1+OTCapPct)*(Cap_Nurse*$C257*(1-$H257)))),MAX(0,($J257)-(Model!$G$15*(1+OTCapPct)*(Cap_Tech*$C257*(1-$I257)))),MAX(0,$J257-((BedsCurrent+BedsAdded)*ShiftHours*$F257/BedHr_M)),MAX(0,$J257*Acuity_M-(ImgBase+ImgExpOn*ImgExpAdd)),MAX(0,$J257-(LabBase+LabExpOn*LabExpAdd)))</f>
        <v>0</v>
      </c>
      <c r="N257" s="11">
        <f ca="1">MAX(MAX(0,($K257*(1+0.5*Acuity_E))-(Model!$G$25*(1+OTCapPct)*(Cap_Doc*$C257*(1-$G257)))),MAX(0,($K257)-(Model!$G$7*(1+OTCapPct)*(Cap_Nurse*$C257*(1-$H257)))),MAX(0,($K257)-(Model!$G$16*(1+OTCapPct)*(Cap_Tech*$C257*(1-$I257)))),MAX(0,$K257-((BedsCurrent+BedsAdded)*ShiftHours*$F257/BedHr_E)),MAX(0,$K257*Acuity_E-(ImgBase+ImgExpOn*ImgExpAdd)),MAX(0,$K257-(LabBase+LabExpOn*LabExpAdd)))</f>
        <v>34</v>
      </c>
      <c r="O257" s="11">
        <f ca="1">MAX(MAX(0,($L257*(1+0.5*Acuity_N))-(Model!$G$26*(1+OTCapPct)*(Cap_Doc*$C257*(1-$G257)))),MAX(0,($L257)-(Model!$G$8*(1+OTCapPct)*(Cap_Nurse*$C257*(1-$H257)))),MAX(0,($L257)-(Model!$G$17*(1+OTCapPct)*(Cap_Tech*$C257*(1-$I257)))),MAX(0,$L257-((BedsCurrent+BedsAdded)*ShiftHours*$F257/BedHr_N)),MAX(0,$L257*Acuity_N-(ImgBase+ImgExpOn*ImgExpAdd)),MAX(0,$L257-(LabBase+LabExpOn*LabExpAdd)))</f>
        <v>0</v>
      </c>
      <c r="P257" s="11">
        <f t="shared" ca="1" si="47"/>
        <v>34</v>
      </c>
      <c r="Q257" s="17">
        <f ca="1">((MIN(OTCapPct*Model!$G$24,MAX(0,(($J257*(1+0.5*Acuity_M))/(Cap_Doc*$C257*(1-$G257)))-Model!$G$24)))*OTCost_Doc)+((MIN(OTCapPct*Model!$G$6,MAX(0,(($J257)/(Cap_Nurse*$C257*(1-$H257)))-Model!$G$6)))*OTCost_Nurse)+((MIN(OTCapPct*Model!$G$15,MAX(0,(($J257)/(Cap_Tech*$C257*(1-$I257)))-Model!$G$15)))*OTCost_Tech)+((MIN(OTCapPct*Model!$G$25,MAX(0,(($K257*(1+0.5*Acuity_E))/(Cap_Doc*$C257*(1-$G257)))-Model!$G$25)))*OTCost_Doc)+((MIN(OTCapPct*Model!$G$7,MAX(0,(($K257)/(Cap_Nurse*$C257*(1-$H257)))-Model!$G$7)))*OTCost_Nurse)+((MIN(OTCapPct*Model!$G$16,MAX(0,(($K257)/(Cap_Tech*$C257*(1-$I257)))-Model!$G$16)))*OTCost_Tech)+((MIN(OTCapPct*Model!$G$26,MAX(0,(($L257*(1+0.5*Acuity_N))/(Cap_Doc*$C257*(1-$G257)))-Model!$G$26)))*OTCost_Doc)+((MIN(OTCapPct*Model!$G$8,MAX(0,(($L257)/(Cap_Nurse*$C257*(1-$H257)))-Model!$G$8)))*OTCost_Nurse)+((MIN(OTCapPct*Model!$G$17,MAX(0,(($L257)/(Cap_Tech*$C257*(1-$I257)))-Model!$G$17)))*OTCost_Tech)</f>
        <v>48928.104160628493</v>
      </c>
    </row>
    <row r="258" spans="1:17" x14ac:dyDescent="0.25">
      <c r="A258" s="11">
        <v>254</v>
      </c>
      <c r="B258" s="11" t="str">
        <f t="shared" ca="1" si="36"/>
        <v>Complex</v>
      </c>
      <c r="C258" s="11">
        <f t="shared" ca="1" si="37"/>
        <v>0.9</v>
      </c>
      <c r="D258" s="11">
        <f t="shared" ca="1" si="38"/>
        <v>0</v>
      </c>
      <c r="E258" s="11">
        <f t="shared" ca="1" si="39"/>
        <v>2</v>
      </c>
      <c r="F258" s="36">
        <f t="shared" ca="1" si="40"/>
        <v>0.92737988528613713</v>
      </c>
      <c r="G258" s="11">
        <f t="shared" ca="1" si="41"/>
        <v>0</v>
      </c>
      <c r="H258" s="11">
        <f t="shared" ca="1" si="42"/>
        <v>4.8844409883855869E-2</v>
      </c>
      <c r="I258" s="11">
        <f t="shared" ca="1" si="43"/>
        <v>0</v>
      </c>
      <c r="J258" s="11">
        <f t="shared" ca="1" si="44"/>
        <v>94</v>
      </c>
      <c r="K258" s="11">
        <f t="shared" ca="1" si="45"/>
        <v>126</v>
      </c>
      <c r="L258" s="11">
        <f t="shared" ca="1" si="46"/>
        <v>65</v>
      </c>
      <c r="M258" s="11">
        <f ca="1">MAX(MAX(0,($J258*(1+0.5*Acuity_M))-(Model!$G$24*(1+OTCapPct)*(Cap_Doc*$C258*(1-$G258)))),MAX(0,($J258)-(Model!$G$6*(1+OTCapPct)*(Cap_Nurse*$C258*(1-$H258)))),MAX(0,($J258)-(Model!$G$15*(1+OTCapPct)*(Cap_Tech*$C258*(1-$I258)))),MAX(0,$J258-((BedsCurrent+BedsAdded)*ShiftHours*$F258/BedHr_M)),MAX(0,$J258*Acuity_M-(ImgBase+ImgExpOn*ImgExpAdd)),MAX(0,$J258-(LabBase+LabExpOn*LabExpAdd)))</f>
        <v>4.1157967340243715</v>
      </c>
      <c r="N258" s="11">
        <f ca="1">MAX(MAX(0,($K258*(1+0.5*Acuity_E))-(Model!$G$25*(1+OTCapPct)*(Cap_Doc*$C258*(1-$G258)))),MAX(0,($K258)-(Model!$G$7*(1+OTCapPct)*(Cap_Nurse*$C258*(1-$H258)))),MAX(0,($K258)-(Model!$G$16*(1+OTCapPct)*(Cap_Tech*$C258*(1-$I258)))),MAX(0,$K258-((BedsCurrent+BedsAdded)*ShiftHours*$F258/BedHr_E)),MAX(0,$K258*Acuity_E-(ImgBase+ImgExpOn*ImgExpAdd)),MAX(0,$K258-(LabBase+LabExpOn*LabExpAdd)))</f>
        <v>31</v>
      </c>
      <c r="O258" s="11">
        <f ca="1">MAX(MAX(0,($L258*(1+0.5*Acuity_N))-(Model!$G$26*(1+OTCapPct)*(Cap_Doc*$C258*(1-$G258)))),MAX(0,($L258)-(Model!$G$8*(1+OTCapPct)*(Cap_Nurse*$C258*(1-$H258)))),MAX(0,($L258)-(Model!$G$17*(1+OTCapPct)*(Cap_Tech*$C258*(1-$I258)))),MAX(0,$L258-((BedsCurrent+BedsAdded)*ShiftHours*$F258/BedHr_N)),MAX(0,$L258*Acuity_N-(ImgBase+ImgExpOn*ImgExpAdd)),MAX(0,$L258-(LabBase+LabExpOn*LabExpAdd)))</f>
        <v>0</v>
      </c>
      <c r="P258" s="11">
        <f t="shared" ca="1" si="47"/>
        <v>35.115796734024372</v>
      </c>
      <c r="Q258" s="17">
        <f ca="1">((MIN(OTCapPct*Model!$G$24,MAX(0,(($J258*(1+0.5*Acuity_M))/(Cap_Doc*$C258*(1-$G258)))-Model!$G$24)))*OTCost_Doc)+((MIN(OTCapPct*Model!$G$6,MAX(0,(($J258)/(Cap_Nurse*$C258*(1-$H258)))-Model!$G$6)))*OTCost_Nurse)+((MIN(OTCapPct*Model!$G$15,MAX(0,(($J258)/(Cap_Tech*$C258*(1-$I258)))-Model!$G$15)))*OTCost_Tech)+((MIN(OTCapPct*Model!$G$25,MAX(0,(($K258*(1+0.5*Acuity_E))/(Cap_Doc*$C258*(1-$G258)))-Model!$G$25)))*OTCost_Doc)+((MIN(OTCapPct*Model!$G$7,MAX(0,(($K258)/(Cap_Nurse*$C258*(1-$H258)))-Model!$G$7)))*OTCost_Nurse)+((MIN(OTCapPct*Model!$G$16,MAX(0,(($K258)/(Cap_Tech*$C258*(1-$I258)))-Model!$G$16)))*OTCost_Tech)+((MIN(OTCapPct*Model!$G$26,MAX(0,(($L258*(1+0.5*Acuity_N))/(Cap_Doc*$C258*(1-$G258)))-Model!$G$26)))*OTCost_Doc)+((MIN(OTCapPct*Model!$G$8,MAX(0,(($L258)/(Cap_Nurse*$C258*(1-$H258)))-Model!$G$8)))*OTCost_Nurse)+((MIN(OTCapPct*Model!$G$17,MAX(0,(($L258)/(Cap_Tech*$C258*(1-$I258)))-Model!$G$17)))*OTCost_Tech)</f>
        <v>82764.294438546945</v>
      </c>
    </row>
    <row r="259" spans="1:17" x14ac:dyDescent="0.25">
      <c r="A259" s="11">
        <v>255</v>
      </c>
      <c r="B259" s="11" t="str">
        <f t="shared" ca="1" si="36"/>
        <v>Normal</v>
      </c>
      <c r="C259" s="11">
        <f t="shared" ca="1" si="37"/>
        <v>1</v>
      </c>
      <c r="D259" s="11">
        <f t="shared" ca="1" si="38"/>
        <v>1</v>
      </c>
      <c r="E259" s="11">
        <f t="shared" ca="1" si="39"/>
        <v>2</v>
      </c>
      <c r="F259" s="36">
        <f t="shared" ca="1" si="40"/>
        <v>0.8488672309320846</v>
      </c>
      <c r="G259" s="11">
        <f t="shared" ca="1" si="41"/>
        <v>8.246931961309531E-2</v>
      </c>
      <c r="H259" s="11">
        <f t="shared" ca="1" si="42"/>
        <v>3.7857631236064435E-2</v>
      </c>
      <c r="I259" s="11">
        <f t="shared" ca="1" si="43"/>
        <v>3.6327030082828865E-2</v>
      </c>
      <c r="J259" s="11">
        <f t="shared" ca="1" si="44"/>
        <v>82</v>
      </c>
      <c r="K259" s="11">
        <f t="shared" ca="1" si="45"/>
        <v>191</v>
      </c>
      <c r="L259" s="11">
        <f t="shared" ca="1" si="46"/>
        <v>71</v>
      </c>
      <c r="M259" s="11">
        <f ca="1">MAX(MAX(0,($J259*(1+0.5*Acuity_M))-(Model!$G$24*(1+OTCapPct)*(Cap_Doc*$C259*(1-$G259)))),MAX(0,($J259)-(Model!$G$6*(1+OTCapPct)*(Cap_Nurse*$C259*(1-$H259)))),MAX(0,($J259)-(Model!$G$15*(1+OTCapPct)*(Cap_Tech*$C259*(1-$I259)))),MAX(0,$J259-((BedsCurrent+BedsAdded)*ShiftHours*$F259/BedHr_M)),MAX(0,$J259*Acuity_M-(ImgBase+ImgExpOn*ImgExpAdd)),MAX(0,$J259-(LabBase+LabExpOn*LabExpAdd)))</f>
        <v>0</v>
      </c>
      <c r="N259" s="11">
        <f ca="1">MAX(MAX(0,($K259*(1+0.5*Acuity_E))-(Model!$G$25*(1+OTCapPct)*(Cap_Doc*$C259*(1-$G259)))),MAX(0,($K259)-(Model!$G$7*(1+OTCapPct)*(Cap_Nurse*$C259*(1-$H259)))),MAX(0,($K259)-(Model!$G$16*(1+OTCapPct)*(Cap_Tech*$C259*(1-$I259)))),MAX(0,$K259-((BedsCurrent+BedsAdded)*ShiftHours*$F259/BedHr_E)),MAX(0,$K259*Acuity_E-(ImgBase+ImgExpOn*ImgExpAdd)),MAX(0,$K259-(LabBase+LabExpOn*LabExpAdd)))</f>
        <v>98.643245274589191</v>
      </c>
      <c r="O259" s="11">
        <f ca="1">MAX(MAX(0,($L259*(1+0.5*Acuity_N))-(Model!$G$26*(1+OTCapPct)*(Cap_Doc*$C259*(1-$G259)))),MAX(0,($L259)-(Model!$G$8*(1+OTCapPct)*(Cap_Nurse*$C259*(1-$H259)))),MAX(0,($L259)-(Model!$G$17*(1+OTCapPct)*(Cap_Tech*$C259*(1-$I259)))),MAX(0,$L259-((BedsCurrent+BedsAdded)*ShiftHours*$F259/BedHr_N)),MAX(0,$L259*Acuity_N-(ImgBase+ImgExpOn*ImgExpAdd)),MAX(0,$L259-(LabBase+LabExpOn*LabExpAdd)))</f>
        <v>0</v>
      </c>
      <c r="P259" s="11">
        <f t="shared" ca="1" si="47"/>
        <v>98.643245274589191</v>
      </c>
      <c r="Q259" s="17">
        <f ca="1">((MIN(OTCapPct*Model!$G$24,MAX(0,(($J259*(1+0.5*Acuity_M))/(Cap_Doc*$C259*(1-$G259)))-Model!$G$24)))*OTCost_Doc)+((MIN(OTCapPct*Model!$G$6,MAX(0,(($J259)/(Cap_Nurse*$C259*(1-$H259)))-Model!$G$6)))*OTCost_Nurse)+((MIN(OTCapPct*Model!$G$15,MAX(0,(($J259)/(Cap_Tech*$C259*(1-$I259)))-Model!$G$15)))*OTCost_Tech)+((MIN(OTCapPct*Model!$G$25,MAX(0,(($K259*(1+0.5*Acuity_E))/(Cap_Doc*$C259*(1-$G259)))-Model!$G$25)))*OTCost_Doc)+((MIN(OTCapPct*Model!$G$7,MAX(0,(($K259)/(Cap_Nurse*$C259*(1-$H259)))-Model!$G$7)))*OTCost_Nurse)+((MIN(OTCapPct*Model!$G$16,MAX(0,(($K259)/(Cap_Tech*$C259*(1-$I259)))-Model!$G$16)))*OTCost_Tech)+((MIN(OTCapPct*Model!$G$26,MAX(0,(($L259*(1+0.5*Acuity_N))/(Cap_Doc*$C259*(1-$G259)))-Model!$G$26)))*OTCost_Doc)+((MIN(OTCapPct*Model!$G$8,MAX(0,(($L259)/(Cap_Nurse*$C259*(1-$H259)))-Model!$G$8)))*OTCost_Nurse)+((MIN(OTCapPct*Model!$G$17,MAX(0,(($L259)/(Cap_Tech*$C259*(1-$I259)))-Model!$G$17)))*OTCost_Tech)</f>
        <v>66153.320470337043</v>
      </c>
    </row>
    <row r="260" spans="1:17" x14ac:dyDescent="0.25">
      <c r="A260" s="11">
        <v>256</v>
      </c>
      <c r="B260" s="11" t="str">
        <f t="shared" ca="1" si="36"/>
        <v>Complex</v>
      </c>
      <c r="C260" s="11">
        <f t="shared" ca="1" si="37"/>
        <v>0.9</v>
      </c>
      <c r="D260" s="11">
        <f t="shared" ca="1" si="38"/>
        <v>0</v>
      </c>
      <c r="E260" s="11">
        <f t="shared" ca="1" si="39"/>
        <v>1</v>
      </c>
      <c r="F260" s="36">
        <f t="shared" ca="1" si="40"/>
        <v>0.91997839467503273</v>
      </c>
      <c r="G260" s="11">
        <f t="shared" ca="1" si="41"/>
        <v>7.4140906914061E-2</v>
      </c>
      <c r="H260" s="11">
        <f t="shared" ca="1" si="42"/>
        <v>9.8899027576798484E-3</v>
      </c>
      <c r="I260" s="11">
        <f t="shared" ca="1" si="43"/>
        <v>2.6921110629751898E-2</v>
      </c>
      <c r="J260" s="11">
        <f t="shared" ca="1" si="44"/>
        <v>72</v>
      </c>
      <c r="K260" s="11">
        <f t="shared" ca="1" si="45"/>
        <v>93</v>
      </c>
      <c r="L260" s="11">
        <f t="shared" ca="1" si="46"/>
        <v>61</v>
      </c>
      <c r="M260" s="11">
        <f ca="1">MAX(MAX(0,($J260*(1+0.5*Acuity_M))-(Model!$G$24*(1+OTCapPct)*(Cap_Doc*$C260*(1-$G260)))),MAX(0,($J260)-(Model!$G$6*(1+OTCapPct)*(Cap_Nurse*$C260*(1-$H260)))),MAX(0,($J260)-(Model!$G$15*(1+OTCapPct)*(Cap_Tech*$C260*(1-$I260)))),MAX(0,$J260-((BedsCurrent+BedsAdded)*ShiftHours*$F260/BedHr_M)),MAX(0,$J260*Acuity_M-(ImgBase+ImgExpOn*ImgExpAdd)),MAX(0,$J260-(LabBase+LabExpOn*LabExpAdd)))</f>
        <v>0</v>
      </c>
      <c r="N260" s="11">
        <f ca="1">MAX(MAX(0,($K260*(1+0.5*Acuity_E))-(Model!$G$25*(1+OTCapPct)*(Cap_Doc*$C260*(1-$G260)))),MAX(0,($K260)-(Model!$G$7*(1+OTCapPct)*(Cap_Nurse*$C260*(1-$H260)))),MAX(0,($K260)-(Model!$G$16*(1+OTCapPct)*(Cap_Tech*$C260*(1-$I260)))),MAX(0,$K260-((BedsCurrent+BedsAdded)*ShiftHours*$F260/BedHr_E)),MAX(0,$K260*Acuity_E-(ImgBase+ImgExpOn*ImgExpAdd)),MAX(0,$K260-(LabBase+LabExpOn*LabExpAdd)))</f>
        <v>0</v>
      </c>
      <c r="O260" s="11">
        <f ca="1">MAX(MAX(0,($L260*(1+0.5*Acuity_N))-(Model!$G$26*(1+OTCapPct)*(Cap_Doc*$C260*(1-$G260)))),MAX(0,($L260)-(Model!$G$8*(1+OTCapPct)*(Cap_Nurse*$C260*(1-$H260)))),MAX(0,($L260)-(Model!$G$17*(1+OTCapPct)*(Cap_Tech*$C260*(1-$I260)))),MAX(0,$L260-((BedsCurrent+BedsAdded)*ShiftHours*$F260/BedHr_N)),MAX(0,$L260*Acuity_N-(ImgBase+ImgExpOn*ImgExpAdd)),MAX(0,$L260-(LabBase+LabExpOn*LabExpAdd)))</f>
        <v>0</v>
      </c>
      <c r="P260" s="11">
        <f t="shared" ca="1" si="47"/>
        <v>0</v>
      </c>
      <c r="Q260" s="17">
        <f ca="1">((MIN(OTCapPct*Model!$G$24,MAX(0,(($J260*(1+0.5*Acuity_M))/(Cap_Doc*$C260*(1-$G260)))-Model!$G$24)))*OTCost_Doc)+((MIN(OTCapPct*Model!$G$6,MAX(0,(($J260)/(Cap_Nurse*$C260*(1-$H260)))-Model!$G$6)))*OTCost_Nurse)+((MIN(OTCapPct*Model!$G$15,MAX(0,(($J260)/(Cap_Tech*$C260*(1-$I260)))-Model!$G$15)))*OTCost_Tech)+((MIN(OTCapPct*Model!$G$25,MAX(0,(($K260*(1+0.5*Acuity_E))/(Cap_Doc*$C260*(1-$G260)))-Model!$G$25)))*OTCost_Doc)+((MIN(OTCapPct*Model!$G$7,MAX(0,(($K260)/(Cap_Nurse*$C260*(1-$H260)))-Model!$G$7)))*OTCost_Nurse)+((MIN(OTCapPct*Model!$G$16,MAX(0,(($K260)/(Cap_Tech*$C260*(1-$I260)))-Model!$G$16)))*OTCost_Tech)+((MIN(OTCapPct*Model!$G$26,MAX(0,(($L260*(1+0.5*Acuity_N))/(Cap_Doc*$C260*(1-$G260)))-Model!$G$26)))*OTCost_Doc)+((MIN(OTCapPct*Model!$G$8,MAX(0,(($L260)/(Cap_Nurse*$C260*(1-$H260)))-Model!$G$8)))*OTCost_Nurse)+((MIN(OTCapPct*Model!$G$17,MAX(0,(($L260)/(Cap_Tech*$C260*(1-$I260)))-Model!$G$17)))*OTCost_Tech)</f>
        <v>14497.637196640488</v>
      </c>
    </row>
    <row r="261" spans="1:17" x14ac:dyDescent="0.25">
      <c r="A261" s="11">
        <v>257</v>
      </c>
      <c r="B261" s="11" t="str">
        <f t="shared" ref="B261:B304" ca="1" si="48">IF(RAND()&lt;P_Normal,"Normal",IF(RAND()&lt;P_Complex/(P_Complex+P_Severe),"Complex","Severe"))</f>
        <v>Normal</v>
      </c>
      <c r="C261" s="11">
        <f t="shared" ref="C261:C304" ca="1" si="49">IF(B261="Normal",1,IF(B261="Complex",0.9,0.8))</f>
        <v>1</v>
      </c>
      <c r="D261" s="11">
        <f t="shared" ref="D261:D304" ca="1" si="50">IF(RAND()&lt;P_Incident,1,0)</f>
        <v>0</v>
      </c>
      <c r="E261" s="11">
        <f t="shared" ref="E261:E304" ca="1" si="51">RANDBETWEEN(1,3)</f>
        <v>3</v>
      </c>
      <c r="F261" s="36">
        <f t="shared" ref="F261:F304" ca="1" si="52">1-BedHrVariability+RAND()*2*BedHrVariability</f>
        <v>0.93579465624355462</v>
      </c>
      <c r="G261" s="11">
        <f t="shared" ref="G261:G304" ca="1" si="53">MIN(0.5,MAX(0,NORMINV(RAND(),BaseAbsence_Doc,SQRT(BaseAbsence_Doc*(1-BaseAbsence_Doc)/Avail_Doc))))</f>
        <v>6.2925727313681054E-2</v>
      </c>
      <c r="H261" s="11">
        <f t="shared" ref="H261:H304" ca="1" si="54">MIN(0.5,MAX(0,NORMINV(RAND(),BaseAbsence_Nurse,SQRT(BaseAbsence_Nurse*(1-BaseAbsence_Nurse)/Avail_Nurse))))</f>
        <v>4.7381022584704433E-2</v>
      </c>
      <c r="I261" s="11">
        <f t="shared" ref="I261:I304" ca="1" si="55">MIN(0.5,MAX(0,NORMINV(RAND(),BaseAbsence_Tech,SQRT(BaseAbsence_Tech*(1-BaseAbsence_Tech)/Avail_Tech))))</f>
        <v>6.391433791873477E-2</v>
      </c>
      <c r="J261" s="11">
        <f t="shared" ref="J261:J304" ca="1" si="56">MAX(0,ROUND(NORMINV(RAND(),Arr_M,SD_M)*IF(AND($D261=1,$E261=1),1+IncidentSeverity,1),0))</f>
        <v>98</v>
      </c>
      <c r="K261" s="11">
        <f t="shared" ref="K261:K304" ca="1" si="57">MAX(0,ROUND(NORMINV(RAND(),Arr_E,SD_E)*IF(AND($D261=1,$E261=2),1+IncidentSeverity,1),0))</f>
        <v>131</v>
      </c>
      <c r="L261" s="11">
        <f t="shared" ref="L261:L304" ca="1" si="58">MAX(0,ROUND(NORMINV(RAND(),Arr_N,SD_N)*IF(AND($D261=1,$E261=3),1+IncidentSeverity,1),0))</f>
        <v>65</v>
      </c>
      <c r="M261" s="11">
        <f ca="1">MAX(MAX(0,($J261*(1+0.5*Acuity_M))-(Model!$G$24*(1+OTCapPct)*(Cap_Doc*$C261*(1-$G261)))),MAX(0,($J261)-(Model!$G$6*(1+OTCapPct)*(Cap_Nurse*$C261*(1-$H261)))),MAX(0,($J261)-(Model!$G$15*(1+OTCapPct)*(Cap_Tech*$C261*(1-$I261)))),MAX(0,$J261-((BedsCurrent+BedsAdded)*ShiftHours*$F261/BedHr_M)),MAX(0,$J261*Acuity_M-(ImgBase+ImgExpOn*ImgExpAdd)),MAX(0,$J261-(LabBase+LabExpOn*LabExpAdd)))</f>
        <v>3.3591443227891205</v>
      </c>
      <c r="N261" s="11">
        <f ca="1">MAX(MAX(0,($K261*(1+0.5*Acuity_E))-(Model!$G$25*(1+OTCapPct)*(Cap_Doc*$C261*(1-$G261)))),MAX(0,($K261)-(Model!$G$7*(1+OTCapPct)*(Cap_Nurse*$C261*(1-$H261)))),MAX(0,($K261)-(Model!$G$16*(1+OTCapPct)*(Cap_Tech*$C261*(1-$I261)))),MAX(0,$K261-((BedsCurrent+BedsAdded)*ShiftHours*$F261/BedHr_E)),MAX(0,$K261*Acuity_E-(ImgBase+ImgExpOn*ImgExpAdd)),MAX(0,$K261-(LabBase+LabExpOn*LabExpAdd)))</f>
        <v>36</v>
      </c>
      <c r="O261" s="11">
        <f ca="1">MAX(MAX(0,($L261*(1+0.5*Acuity_N))-(Model!$G$26*(1+OTCapPct)*(Cap_Doc*$C261*(1-$G261)))),MAX(0,($L261)-(Model!$G$8*(1+OTCapPct)*(Cap_Nurse*$C261*(1-$H261)))),MAX(0,($L261)-(Model!$G$17*(1+OTCapPct)*(Cap_Tech*$C261*(1-$I261)))),MAX(0,$L261-((BedsCurrent+BedsAdded)*ShiftHours*$F261/BedHr_N)),MAX(0,$L261*Acuity_N-(ImgBase+ImgExpOn*ImgExpAdd)),MAX(0,$L261-(LabBase+LabExpOn*LabExpAdd)))</f>
        <v>0</v>
      </c>
      <c r="P261" s="11">
        <f t="shared" ref="P261:P304" ca="1" si="59">M261+N261+O261</f>
        <v>39.35914432278912</v>
      </c>
      <c r="Q261" s="17">
        <f ca="1">((MIN(OTCapPct*Model!$G$24,MAX(0,(($J261*(1+0.5*Acuity_M))/(Cap_Doc*$C261*(1-$G261)))-Model!$G$24)))*OTCost_Doc)+((MIN(OTCapPct*Model!$G$6,MAX(0,(($J261)/(Cap_Nurse*$C261*(1-$H261)))-Model!$G$6)))*OTCost_Nurse)+((MIN(OTCapPct*Model!$G$15,MAX(0,(($J261)/(Cap_Tech*$C261*(1-$I261)))-Model!$G$15)))*OTCost_Tech)+((MIN(OTCapPct*Model!$G$25,MAX(0,(($K261*(1+0.5*Acuity_E))/(Cap_Doc*$C261*(1-$G261)))-Model!$G$25)))*OTCost_Doc)+((MIN(OTCapPct*Model!$G$7,MAX(0,(($K261)/(Cap_Nurse*$C261*(1-$H261)))-Model!$G$7)))*OTCost_Nurse)+((MIN(OTCapPct*Model!$G$16,MAX(0,(($K261)/(Cap_Tech*$C261*(1-$I261)))-Model!$G$16)))*OTCost_Tech)+((MIN(OTCapPct*Model!$G$26,MAX(0,(($L261*(1+0.5*Acuity_N))/(Cap_Doc*$C261*(1-$G261)))-Model!$G$26)))*OTCost_Doc)+((MIN(OTCapPct*Model!$G$8,MAX(0,(($L261)/(Cap_Nurse*$C261*(1-$H261)))-Model!$G$8)))*OTCost_Nurse)+((MIN(OTCapPct*Model!$G$17,MAX(0,(($L261)/(Cap_Tech*$C261*(1-$I261)))-Model!$G$17)))*OTCost_Tech)</f>
        <v>71810.996654026647</v>
      </c>
    </row>
    <row r="262" spans="1:17" x14ac:dyDescent="0.25">
      <c r="A262" s="11">
        <v>258</v>
      </c>
      <c r="B262" s="11" t="str">
        <f t="shared" ca="1" si="48"/>
        <v>Normal</v>
      </c>
      <c r="C262" s="11">
        <f t="shared" ca="1" si="49"/>
        <v>1</v>
      </c>
      <c r="D262" s="11">
        <f t="shared" ca="1" si="50"/>
        <v>0</v>
      </c>
      <c r="E262" s="11">
        <f t="shared" ca="1" si="51"/>
        <v>2</v>
      </c>
      <c r="F262" s="36">
        <f t="shared" ca="1" si="52"/>
        <v>1.1834462975820517</v>
      </c>
      <c r="G262" s="11">
        <f t="shared" ca="1" si="53"/>
        <v>0.12946681156987061</v>
      </c>
      <c r="H262" s="11">
        <f t="shared" ca="1" si="54"/>
        <v>7.5846465639375998E-2</v>
      </c>
      <c r="I262" s="11">
        <f t="shared" ca="1" si="55"/>
        <v>5.0091638874721109E-2</v>
      </c>
      <c r="J262" s="11">
        <f t="shared" ca="1" si="56"/>
        <v>95</v>
      </c>
      <c r="K262" s="11">
        <f t="shared" ca="1" si="57"/>
        <v>118</v>
      </c>
      <c r="L262" s="11">
        <f t="shared" ca="1" si="58"/>
        <v>76</v>
      </c>
      <c r="M262" s="11">
        <f ca="1">MAX(MAX(0,($J262*(1+0.5*Acuity_M))-(Model!$G$24*(1+OTCapPct)*(Cap_Doc*$C262*(1-$G262)))),MAX(0,($J262)-(Model!$G$6*(1+OTCapPct)*(Cap_Nurse*$C262*(1-$H262)))),MAX(0,($J262)-(Model!$G$15*(1+OTCapPct)*(Cap_Tech*$C262*(1-$I262)))),MAX(0,$J262-((BedsCurrent+BedsAdded)*ShiftHours*$F262/BedHr_M)),MAX(0,$J262*Acuity_M-(ImgBase+ImgExpOn*ImgExpAdd)),MAX(0,$J262-(LabBase+LabExpOn*LabExpAdd)))</f>
        <v>7.5150163016104443</v>
      </c>
      <c r="N262" s="11">
        <f ca="1">MAX(MAX(0,($K262*(1+0.5*Acuity_E))-(Model!$G$25*(1+OTCapPct)*(Cap_Doc*$C262*(1-$G262)))),MAX(0,($K262)-(Model!$G$7*(1+OTCapPct)*(Cap_Nurse*$C262*(1-$H262)))),MAX(0,($K262)-(Model!$G$16*(1+OTCapPct)*(Cap_Tech*$C262*(1-$I262)))),MAX(0,$K262-((BedsCurrent+BedsAdded)*ShiftHours*$F262/BedHr_E)),MAX(0,$K262*Acuity_E-(ImgBase+ImgExpOn*ImgExpAdd)),MAX(0,$K262-(LabBase+LabExpOn*LabExpAdd)))</f>
        <v>23</v>
      </c>
      <c r="O262" s="11">
        <f ca="1">MAX(MAX(0,($L262*(1+0.5*Acuity_N))-(Model!$G$26*(1+OTCapPct)*(Cap_Doc*$C262*(1-$G262)))),MAX(0,($L262)-(Model!$G$8*(1+OTCapPct)*(Cap_Nurse*$C262*(1-$H262)))),MAX(0,($L262)-(Model!$G$17*(1+OTCapPct)*(Cap_Tech*$C262*(1-$I262)))),MAX(0,$L262-((BedsCurrent+BedsAdded)*ShiftHours*$F262/BedHr_N)),MAX(0,$L262*Acuity_N-(ImgBase+ImgExpOn*ImgExpAdd)),MAX(0,$L262-(LabBase+LabExpOn*LabExpAdd)))</f>
        <v>9.0520130412883475</v>
      </c>
      <c r="P262" s="11">
        <f t="shared" ca="1" si="59"/>
        <v>39.567029342898792</v>
      </c>
      <c r="Q262" s="17">
        <f ca="1">((MIN(OTCapPct*Model!$G$24,MAX(0,(($J262*(1+0.5*Acuity_M))/(Cap_Doc*$C262*(1-$G262)))-Model!$G$24)))*OTCost_Doc)+((MIN(OTCapPct*Model!$G$6,MAX(0,(($J262)/(Cap_Nurse*$C262*(1-$H262)))-Model!$G$6)))*OTCost_Nurse)+((MIN(OTCapPct*Model!$G$15,MAX(0,(($J262)/(Cap_Tech*$C262*(1-$I262)))-Model!$G$15)))*OTCost_Tech)+((MIN(OTCapPct*Model!$G$25,MAX(0,(($K262*(1+0.5*Acuity_E))/(Cap_Doc*$C262*(1-$G262)))-Model!$G$25)))*OTCost_Doc)+((MIN(OTCapPct*Model!$G$7,MAX(0,(($K262)/(Cap_Nurse*$C262*(1-$H262)))-Model!$G$7)))*OTCost_Nurse)+((MIN(OTCapPct*Model!$G$16,MAX(0,(($K262)/(Cap_Tech*$C262*(1-$I262)))-Model!$G$16)))*OTCost_Tech)+((MIN(OTCapPct*Model!$G$26,MAX(0,(($L262*(1+0.5*Acuity_N))/(Cap_Doc*$C262*(1-$G262)))-Model!$G$26)))*OTCost_Doc)+((MIN(OTCapPct*Model!$G$8,MAX(0,(($L262)/(Cap_Nurse*$C262*(1-$H262)))-Model!$G$8)))*OTCost_Nurse)+((MIN(OTCapPct*Model!$G$17,MAX(0,(($L262)/(Cap_Tech*$C262*(1-$I262)))-Model!$G$17)))*OTCost_Tech)</f>
        <v>74030.758134378819</v>
      </c>
    </row>
    <row r="263" spans="1:17" x14ac:dyDescent="0.25">
      <c r="A263" s="11">
        <v>259</v>
      </c>
      <c r="B263" s="11" t="str">
        <f t="shared" ca="1" si="48"/>
        <v>Normal</v>
      </c>
      <c r="C263" s="11">
        <f t="shared" ca="1" si="49"/>
        <v>1</v>
      </c>
      <c r="D263" s="11">
        <f t="shared" ca="1" si="50"/>
        <v>0</v>
      </c>
      <c r="E263" s="11">
        <f t="shared" ca="1" si="51"/>
        <v>2</v>
      </c>
      <c r="F263" s="36">
        <f t="shared" ca="1" si="52"/>
        <v>0.83715782861346055</v>
      </c>
      <c r="G263" s="11">
        <f t="shared" ca="1" si="53"/>
        <v>9.0246800588352216E-3</v>
      </c>
      <c r="H263" s="11">
        <f t="shared" ca="1" si="54"/>
        <v>4.5066492040544262E-2</v>
      </c>
      <c r="I263" s="11">
        <f t="shared" ca="1" si="55"/>
        <v>0</v>
      </c>
      <c r="J263" s="11">
        <f t="shared" ca="1" si="56"/>
        <v>80</v>
      </c>
      <c r="K263" s="11">
        <f t="shared" ca="1" si="57"/>
        <v>119</v>
      </c>
      <c r="L263" s="11">
        <f t="shared" ca="1" si="58"/>
        <v>53</v>
      </c>
      <c r="M263" s="11">
        <f ca="1">MAX(MAX(0,($J263*(1+0.5*Acuity_M))-(Model!$G$24*(1+OTCapPct)*(Cap_Doc*$C263*(1-$G263)))),MAX(0,($J263)-(Model!$G$6*(1+OTCapPct)*(Cap_Nurse*$C263*(1-$H263)))),MAX(0,($J263)-(Model!$G$15*(1+OTCapPct)*(Cap_Tech*$C263*(1-$I263)))),MAX(0,$J263-((BedsCurrent+BedsAdded)*ShiftHours*$F263/BedHr_M)),MAX(0,$J263*Acuity_M-(ImgBase+ImgExpOn*ImgExpAdd)),MAX(0,$J263-(LabBase+LabExpOn*LabExpAdd)))</f>
        <v>0</v>
      </c>
      <c r="N263" s="11">
        <f ca="1">MAX(MAX(0,($K263*(1+0.5*Acuity_E))-(Model!$G$25*(1+OTCapPct)*(Cap_Doc*$C263*(1-$G263)))),MAX(0,($K263)-(Model!$G$7*(1+OTCapPct)*(Cap_Nurse*$C263*(1-$H263)))),MAX(0,($K263)-(Model!$G$16*(1+OTCapPct)*(Cap_Tech*$C263*(1-$I263)))),MAX(0,$K263-((BedsCurrent+BedsAdded)*ShiftHours*$F263/BedHr_E)),MAX(0,$K263*Acuity_E-(ImgBase+ImgExpOn*ImgExpAdd)),MAX(0,$K263-(LabBase+LabExpOn*LabExpAdd)))</f>
        <v>27.917228246855501</v>
      </c>
      <c r="O263" s="11">
        <f ca="1">MAX(MAX(0,($L263*(1+0.5*Acuity_N))-(Model!$G$26*(1+OTCapPct)*(Cap_Doc*$C263*(1-$G263)))),MAX(0,($L263)-(Model!$G$8*(1+OTCapPct)*(Cap_Nurse*$C263*(1-$H263)))),MAX(0,($L263)-(Model!$G$17*(1+OTCapPct)*(Cap_Tech*$C263*(1-$I263)))),MAX(0,$L263-((BedsCurrent+BedsAdded)*ShiftHours*$F263/BedHr_N)),MAX(0,$L263*Acuity_N-(ImgBase+ImgExpOn*ImgExpAdd)),MAX(0,$L263-(LabBase+LabExpOn*LabExpAdd)))</f>
        <v>0</v>
      </c>
      <c r="P263" s="11">
        <f t="shared" ca="1" si="59"/>
        <v>27.917228246855501</v>
      </c>
      <c r="Q263" s="17">
        <f ca="1">((MIN(OTCapPct*Model!$G$24,MAX(0,(($J263*(1+0.5*Acuity_M))/(Cap_Doc*$C263*(1-$G263)))-Model!$G$24)))*OTCost_Doc)+((MIN(OTCapPct*Model!$G$6,MAX(0,(($J263)/(Cap_Nurse*$C263*(1-$H263)))-Model!$G$6)))*OTCost_Nurse)+((MIN(OTCapPct*Model!$G$15,MAX(0,(($J263)/(Cap_Tech*$C263*(1-$I263)))-Model!$G$15)))*OTCost_Tech)+((MIN(OTCapPct*Model!$G$25,MAX(0,(($K263*(1+0.5*Acuity_E))/(Cap_Doc*$C263*(1-$G263)))-Model!$G$25)))*OTCost_Doc)+((MIN(OTCapPct*Model!$G$7,MAX(0,(($K263)/(Cap_Nurse*$C263*(1-$H263)))-Model!$G$7)))*OTCost_Nurse)+((MIN(OTCapPct*Model!$G$16,MAX(0,(($K263)/(Cap_Tech*$C263*(1-$I263)))-Model!$G$16)))*OTCost_Tech)+((MIN(OTCapPct*Model!$G$26,MAX(0,(($L263*(1+0.5*Acuity_N))/(Cap_Doc*$C263*(1-$G263)))-Model!$G$26)))*OTCost_Doc)+((MIN(OTCapPct*Model!$G$8,MAX(0,(($L263)/(Cap_Nurse*$C263*(1-$H263)))-Model!$G$8)))*OTCost_Nurse)+((MIN(OTCapPct*Model!$G$17,MAX(0,(($L263)/(Cap_Tech*$C263*(1-$I263)))-Model!$G$17)))*OTCost_Tech)</f>
        <v>10671.914864784099</v>
      </c>
    </row>
    <row r="264" spans="1:17" x14ac:dyDescent="0.25">
      <c r="A264" s="11">
        <v>260</v>
      </c>
      <c r="B264" s="11" t="str">
        <f t="shared" ca="1" si="48"/>
        <v>Normal</v>
      </c>
      <c r="C264" s="11">
        <f t="shared" ca="1" si="49"/>
        <v>1</v>
      </c>
      <c r="D264" s="11">
        <f t="shared" ca="1" si="50"/>
        <v>0</v>
      </c>
      <c r="E264" s="11">
        <f t="shared" ca="1" si="51"/>
        <v>1</v>
      </c>
      <c r="F264" s="36">
        <f t="shared" ca="1" si="52"/>
        <v>0.85140791632580204</v>
      </c>
      <c r="G264" s="11">
        <f t="shared" ca="1" si="53"/>
        <v>0</v>
      </c>
      <c r="H264" s="11">
        <f t="shared" ca="1" si="54"/>
        <v>5.2493324431430941E-2</v>
      </c>
      <c r="I264" s="11">
        <f t="shared" ca="1" si="55"/>
        <v>5.1854877292587843E-2</v>
      </c>
      <c r="J264" s="11">
        <f t="shared" ca="1" si="56"/>
        <v>97</v>
      </c>
      <c r="K264" s="11">
        <f t="shared" ca="1" si="57"/>
        <v>116</v>
      </c>
      <c r="L264" s="11">
        <f t="shared" ca="1" si="58"/>
        <v>77</v>
      </c>
      <c r="M264" s="11">
        <f ca="1">MAX(MAX(0,($J264*(1+0.5*Acuity_M))-(Model!$G$24*(1+OTCapPct)*(Cap_Doc*$C264*(1-$G264)))),MAX(0,($J264)-(Model!$G$6*(1+OTCapPct)*(Cap_Nurse*$C264*(1-$H264)))),MAX(0,($J264)-(Model!$G$15*(1+OTCapPct)*(Cap_Tech*$C264*(1-$I264)))),MAX(0,$J264-((BedsCurrent+BedsAdded)*ShiftHours*$F264/BedHr_M)),MAX(0,$J264*Acuity_M-(ImgBase+ImgExpOn*ImgExpAdd)),MAX(0,$J264-(LabBase+LabExpOn*LabExpAdd)))</f>
        <v>2</v>
      </c>
      <c r="N264" s="11">
        <f ca="1">MAX(MAX(0,($K264*(1+0.5*Acuity_E))-(Model!$G$25*(1+OTCapPct)*(Cap_Doc*$C264*(1-$G264)))),MAX(0,($K264)-(Model!$G$7*(1+OTCapPct)*(Cap_Nurse*$C264*(1-$H264)))),MAX(0,($K264)-(Model!$G$16*(1+OTCapPct)*(Cap_Tech*$C264*(1-$I264)))),MAX(0,$K264-((BedsCurrent+BedsAdded)*ShiftHours*$F264/BedHr_E)),MAX(0,$K264*Acuity_E-(ImgBase+ImgExpOn*ImgExpAdd)),MAX(0,$K264-(LabBase+LabExpOn*LabExpAdd)))</f>
        <v>23.366818703752728</v>
      </c>
      <c r="O264" s="11">
        <f ca="1">MAX(MAX(0,($L264*(1+0.5*Acuity_N))-(Model!$G$26*(1+OTCapPct)*(Cap_Doc*$C264*(1-$G264)))),MAX(0,($L264)-(Model!$G$8*(1+OTCapPct)*(Cap_Nurse*$C264*(1-$H264)))),MAX(0,($L264)-(Model!$G$17*(1+OTCapPct)*(Cap_Tech*$C264*(1-$I264)))),MAX(0,$L264-((BedsCurrent+BedsAdded)*ShiftHours*$F264/BedHr_N)),MAX(0,$L264*Acuity_N-(ImgBase+ImgExpOn*ImgExpAdd)),MAX(0,$L264-(LabBase+LabExpOn*LabExpAdd)))</f>
        <v>0</v>
      </c>
      <c r="P264" s="11">
        <f t="shared" ca="1" si="59"/>
        <v>25.366818703752728</v>
      </c>
      <c r="Q264" s="17">
        <f ca="1">((MIN(OTCapPct*Model!$G$24,MAX(0,(($J264*(1+0.5*Acuity_M))/(Cap_Doc*$C264*(1-$G264)))-Model!$G$24)))*OTCost_Doc)+((MIN(OTCapPct*Model!$G$6,MAX(0,(($J264)/(Cap_Nurse*$C264*(1-$H264)))-Model!$G$6)))*OTCost_Nurse)+((MIN(OTCapPct*Model!$G$15,MAX(0,(($J264)/(Cap_Tech*$C264*(1-$I264)))-Model!$G$15)))*OTCost_Tech)+((MIN(OTCapPct*Model!$G$25,MAX(0,(($K264*(1+0.5*Acuity_E))/(Cap_Doc*$C264*(1-$G264)))-Model!$G$25)))*OTCost_Doc)+((MIN(OTCapPct*Model!$G$7,MAX(0,(($K264)/(Cap_Nurse*$C264*(1-$H264)))-Model!$G$7)))*OTCost_Nurse)+((MIN(OTCapPct*Model!$G$16,MAX(0,(($K264)/(Cap_Tech*$C264*(1-$I264)))-Model!$G$16)))*OTCost_Tech)+((MIN(OTCapPct*Model!$G$26,MAX(0,(($L264*(1+0.5*Acuity_N))/(Cap_Doc*$C264*(1-$G264)))-Model!$G$26)))*OTCost_Doc)+((MIN(OTCapPct*Model!$G$8,MAX(0,(($L264)/(Cap_Nurse*$C264*(1-$H264)))-Model!$G$8)))*OTCost_Nurse)+((MIN(OTCapPct*Model!$G$17,MAX(0,(($L264)/(Cap_Tech*$C264*(1-$I264)))-Model!$G$17)))*OTCost_Tech)</f>
        <v>49072.516875079913</v>
      </c>
    </row>
    <row r="265" spans="1:17" x14ac:dyDescent="0.25">
      <c r="A265" s="11">
        <v>261</v>
      </c>
      <c r="B265" s="11" t="str">
        <f t="shared" ca="1" si="48"/>
        <v>Complex</v>
      </c>
      <c r="C265" s="11">
        <f t="shared" ca="1" si="49"/>
        <v>0.9</v>
      </c>
      <c r="D265" s="11">
        <f t="shared" ca="1" si="50"/>
        <v>0</v>
      </c>
      <c r="E265" s="11">
        <f t="shared" ca="1" si="51"/>
        <v>1</v>
      </c>
      <c r="F265" s="36">
        <f t="shared" ca="1" si="52"/>
        <v>1.0431508070078843</v>
      </c>
      <c r="G265" s="11">
        <f t="shared" ca="1" si="53"/>
        <v>0</v>
      </c>
      <c r="H265" s="11">
        <f t="shared" ca="1" si="54"/>
        <v>0</v>
      </c>
      <c r="I265" s="11">
        <f t="shared" ca="1" si="55"/>
        <v>0</v>
      </c>
      <c r="J265" s="11">
        <f t="shared" ca="1" si="56"/>
        <v>90</v>
      </c>
      <c r="K265" s="11">
        <f t="shared" ca="1" si="57"/>
        <v>157</v>
      </c>
      <c r="L265" s="11">
        <f t="shared" ca="1" si="58"/>
        <v>59</v>
      </c>
      <c r="M265" s="11">
        <f ca="1">MAX(MAX(0,($J265*(1+0.5*Acuity_M))-(Model!$G$24*(1+OTCapPct)*(Cap_Doc*$C265*(1-$G265)))),MAX(0,($J265)-(Model!$G$6*(1+OTCapPct)*(Cap_Nurse*$C265*(1-$H265)))),MAX(0,($J265)-(Model!$G$15*(1+OTCapPct)*(Cap_Tech*$C265*(1-$I265)))),MAX(0,$J265-((BedsCurrent+BedsAdded)*ShiftHours*$F265/BedHr_M)),MAX(0,$J265*Acuity_M-(ImgBase+ImgExpOn*ImgExpAdd)),MAX(0,$J265-(LabBase+LabExpOn*LabExpAdd)))</f>
        <v>0</v>
      </c>
      <c r="N265" s="11">
        <f ca="1">MAX(MAX(0,($K265*(1+0.5*Acuity_E))-(Model!$G$25*(1+OTCapPct)*(Cap_Doc*$C265*(1-$G265)))),MAX(0,($K265)-(Model!$G$7*(1+OTCapPct)*(Cap_Nurse*$C265*(1-$H265)))),MAX(0,($K265)-(Model!$G$16*(1+OTCapPct)*(Cap_Tech*$C265*(1-$I265)))),MAX(0,$K265-((BedsCurrent+BedsAdded)*ShiftHours*$F265/BedHr_E)),MAX(0,$K265*Acuity_E-(ImgBase+ImgExpOn*ImgExpAdd)),MAX(0,$K265-(LabBase+LabExpOn*LabExpAdd)))</f>
        <v>62</v>
      </c>
      <c r="O265" s="11">
        <f ca="1">MAX(MAX(0,($L265*(1+0.5*Acuity_N))-(Model!$G$26*(1+OTCapPct)*(Cap_Doc*$C265*(1-$G265)))),MAX(0,($L265)-(Model!$G$8*(1+OTCapPct)*(Cap_Nurse*$C265*(1-$H265)))),MAX(0,($L265)-(Model!$G$17*(1+OTCapPct)*(Cap_Tech*$C265*(1-$I265)))),MAX(0,$L265-((BedsCurrent+BedsAdded)*ShiftHours*$F265/BedHr_N)),MAX(0,$L265*Acuity_N-(ImgBase+ImgExpOn*ImgExpAdd)),MAX(0,$L265-(LabBase+LabExpOn*LabExpAdd)))</f>
        <v>0</v>
      </c>
      <c r="P265" s="11">
        <f t="shared" ca="1" si="59"/>
        <v>62</v>
      </c>
      <c r="Q265" s="17">
        <f ca="1">((MIN(OTCapPct*Model!$G$24,MAX(0,(($J265*(1+0.5*Acuity_M))/(Cap_Doc*$C265*(1-$G265)))-Model!$G$24)))*OTCost_Doc)+((MIN(OTCapPct*Model!$G$6,MAX(0,(($J265)/(Cap_Nurse*$C265*(1-$H265)))-Model!$G$6)))*OTCost_Nurse)+((MIN(OTCapPct*Model!$G$15,MAX(0,(($J265)/(Cap_Tech*$C265*(1-$I265)))-Model!$G$15)))*OTCost_Tech)+((MIN(OTCapPct*Model!$G$25,MAX(0,(($K265*(1+0.5*Acuity_E))/(Cap_Doc*$C265*(1-$G265)))-Model!$G$25)))*OTCost_Doc)+((MIN(OTCapPct*Model!$G$7,MAX(0,(($K265)/(Cap_Nurse*$C265*(1-$H265)))-Model!$G$7)))*OTCost_Nurse)+((MIN(OTCapPct*Model!$G$16,MAX(0,(($K265)/(Cap_Tech*$C265*(1-$I265)))-Model!$G$16)))*OTCost_Tech)+((MIN(OTCapPct*Model!$G$26,MAX(0,(($L265*(1+0.5*Acuity_N))/(Cap_Doc*$C265*(1-$G265)))-Model!$G$26)))*OTCost_Doc)+((MIN(OTCapPct*Model!$G$8,MAX(0,(($L265)/(Cap_Nurse*$C265*(1-$H265)))-Model!$G$8)))*OTCost_Nurse)+((MIN(OTCapPct*Model!$G$17,MAX(0,(($L265)/(Cap_Tech*$C265*(1-$I265)))-Model!$G$17)))*OTCost_Tech)</f>
        <v>73499.999999999985</v>
      </c>
    </row>
    <row r="266" spans="1:17" x14ac:dyDescent="0.25">
      <c r="A266" s="11">
        <v>262</v>
      </c>
      <c r="B266" s="11" t="str">
        <f t="shared" ca="1" si="48"/>
        <v>Complex</v>
      </c>
      <c r="C266" s="11">
        <f t="shared" ca="1" si="49"/>
        <v>0.9</v>
      </c>
      <c r="D266" s="11">
        <f t="shared" ca="1" si="50"/>
        <v>0</v>
      </c>
      <c r="E266" s="11">
        <f t="shared" ca="1" si="51"/>
        <v>1</v>
      </c>
      <c r="F266" s="36">
        <f t="shared" ca="1" si="52"/>
        <v>1.1452824299187652</v>
      </c>
      <c r="G266" s="11">
        <f t="shared" ca="1" si="53"/>
        <v>2.8647750803118363E-2</v>
      </c>
      <c r="H266" s="11">
        <f t="shared" ca="1" si="54"/>
        <v>6.1825832788407288E-2</v>
      </c>
      <c r="I266" s="11">
        <f t="shared" ca="1" si="55"/>
        <v>3.1892856070923084E-2</v>
      </c>
      <c r="J266" s="11">
        <f t="shared" ca="1" si="56"/>
        <v>94</v>
      </c>
      <c r="K266" s="11">
        <f t="shared" ca="1" si="57"/>
        <v>100</v>
      </c>
      <c r="L266" s="11">
        <f t="shared" ca="1" si="58"/>
        <v>69</v>
      </c>
      <c r="M266" s="11">
        <f ca="1">MAX(MAX(0,($J266*(1+0.5*Acuity_M))-(Model!$G$24*(1+OTCapPct)*(Cap_Doc*$C266*(1-$G266)))),MAX(0,($J266)-(Model!$G$6*(1+OTCapPct)*(Cap_Nurse*$C266*(1-$H266)))),MAX(0,($J266)-(Model!$G$15*(1+OTCapPct)*(Cap_Tech*$C266*(1-$I266)))),MAX(0,$J266-((BedsCurrent+BedsAdded)*ShiftHours*$F266/BedHr_M)),MAX(0,$J266*Acuity_M-(ImgBase+ImgExpOn*ImgExpAdd)),MAX(0,$J266-(LabBase+LabExpOn*LabExpAdd)))</f>
        <v>5.9905847688157365</v>
      </c>
      <c r="N266" s="11">
        <f ca="1">MAX(MAX(0,($K266*(1+0.5*Acuity_E))-(Model!$G$25*(1+OTCapPct)*(Cap_Doc*$C266*(1-$G266)))),MAX(0,($K266)-(Model!$G$7*(1+OTCapPct)*(Cap_Nurse*$C266*(1-$H266)))),MAX(0,($K266)-(Model!$G$16*(1+OTCapPct)*(Cap_Tech*$C266*(1-$I266)))),MAX(0,$K266-((BedsCurrent+BedsAdded)*ShiftHours*$F266/BedHr_E)),MAX(0,$K266*Acuity_E-(ImgBase+ImgExpOn*ImgExpAdd)),MAX(0,$K266-(LabBase+LabExpOn*LabExpAdd)))</f>
        <v>5</v>
      </c>
      <c r="O266" s="11">
        <f ca="1">MAX(MAX(0,($L266*(1+0.5*Acuity_N))-(Model!$G$26*(1+OTCapPct)*(Cap_Doc*$C266*(1-$G266)))),MAX(0,($L266)-(Model!$G$8*(1+OTCapPct)*(Cap_Nurse*$C266*(1-$H266)))),MAX(0,($L266)-(Model!$G$17*(1+OTCapPct)*(Cap_Tech*$C266*(1-$I266)))),MAX(0,$L266-((BedsCurrent+BedsAdded)*ShiftHours*$F266/BedHr_N)),MAX(0,$L266*Acuity_N-(ImgBase+ImgExpOn*ImgExpAdd)),MAX(0,$L266-(LabBase+LabExpOn*LabExpAdd)))</f>
        <v>0.67046781505257513</v>
      </c>
      <c r="P266" s="11">
        <f t="shared" ca="1" si="59"/>
        <v>11.661052583868312</v>
      </c>
      <c r="Q266" s="17">
        <f ca="1">((MIN(OTCapPct*Model!$G$24,MAX(0,(($J266*(1+0.5*Acuity_M))/(Cap_Doc*$C266*(1-$G266)))-Model!$G$24)))*OTCost_Doc)+((MIN(OTCapPct*Model!$G$6,MAX(0,(($J266)/(Cap_Nurse*$C266*(1-$H266)))-Model!$G$6)))*OTCost_Nurse)+((MIN(OTCapPct*Model!$G$15,MAX(0,(($J266)/(Cap_Tech*$C266*(1-$I266)))-Model!$G$15)))*OTCost_Tech)+((MIN(OTCapPct*Model!$G$25,MAX(0,(($K266*(1+0.5*Acuity_E))/(Cap_Doc*$C266*(1-$G266)))-Model!$G$25)))*OTCost_Doc)+((MIN(OTCapPct*Model!$G$7,MAX(0,(($K266)/(Cap_Nurse*$C266*(1-$H266)))-Model!$G$7)))*OTCost_Nurse)+((MIN(OTCapPct*Model!$G$16,MAX(0,(($K266)/(Cap_Tech*$C266*(1-$I266)))-Model!$G$16)))*OTCost_Tech)+((MIN(OTCapPct*Model!$G$26,MAX(0,(($L266*(1+0.5*Acuity_N))/(Cap_Doc*$C266*(1-$G266)))-Model!$G$26)))*OTCost_Doc)+((MIN(OTCapPct*Model!$G$8,MAX(0,(($L266)/(Cap_Nurse*$C266*(1-$H266)))-Model!$G$8)))*OTCost_Nurse)+((MIN(OTCapPct*Model!$G$17,MAX(0,(($L266)/(Cap_Tech*$C266*(1-$I266)))-Model!$G$17)))*OTCost_Tech)</f>
        <v>53297.135507065628</v>
      </c>
    </row>
    <row r="267" spans="1:17" x14ac:dyDescent="0.25">
      <c r="A267" s="11">
        <v>263</v>
      </c>
      <c r="B267" s="11" t="str">
        <f t="shared" ca="1" si="48"/>
        <v>Normal</v>
      </c>
      <c r="C267" s="11">
        <f t="shared" ca="1" si="49"/>
        <v>1</v>
      </c>
      <c r="D267" s="11">
        <f t="shared" ca="1" si="50"/>
        <v>0</v>
      </c>
      <c r="E267" s="11">
        <f t="shared" ca="1" si="51"/>
        <v>3</v>
      </c>
      <c r="F267" s="36">
        <f t="shared" ca="1" si="52"/>
        <v>1.0605477471243447</v>
      </c>
      <c r="G267" s="11">
        <f t="shared" ca="1" si="53"/>
        <v>0</v>
      </c>
      <c r="H267" s="11">
        <f t="shared" ca="1" si="54"/>
        <v>5.4973350413632535E-2</v>
      </c>
      <c r="I267" s="11">
        <f t="shared" ca="1" si="55"/>
        <v>3.0887444626500355E-2</v>
      </c>
      <c r="J267" s="11">
        <f t="shared" ca="1" si="56"/>
        <v>116</v>
      </c>
      <c r="K267" s="11">
        <f t="shared" ca="1" si="57"/>
        <v>102</v>
      </c>
      <c r="L267" s="11">
        <f t="shared" ca="1" si="58"/>
        <v>51</v>
      </c>
      <c r="M267" s="11">
        <f ca="1">MAX(MAX(0,($J267*(1+0.5*Acuity_M))-(Model!$G$24*(1+OTCapPct)*(Cap_Doc*$C267*(1-$G267)))),MAX(0,($J267)-(Model!$G$6*(1+OTCapPct)*(Cap_Nurse*$C267*(1-$H267)))),MAX(0,($J267)-(Model!$G$15*(1+OTCapPct)*(Cap_Tech*$C267*(1-$I267)))),MAX(0,$J267-((BedsCurrent+BedsAdded)*ShiftHours*$F267/BedHr_M)),MAX(0,$J267*Acuity_M-(ImgBase+ImgExpOn*ImgExpAdd)),MAX(0,$J267-(LabBase+LabExpOn*LabExpAdd)))</f>
        <v>21</v>
      </c>
      <c r="N267" s="11">
        <f ca="1">MAX(MAX(0,($K267*(1+0.5*Acuity_E))-(Model!$G$25*(1+OTCapPct)*(Cap_Doc*$C267*(1-$G267)))),MAX(0,($K267)-(Model!$G$7*(1+OTCapPct)*(Cap_Nurse*$C267*(1-$H267)))),MAX(0,($K267)-(Model!$G$16*(1+OTCapPct)*(Cap_Tech*$C267*(1-$I267)))),MAX(0,$K267-((BedsCurrent+BedsAdded)*ShiftHours*$F267/BedHr_E)),MAX(0,$K267*Acuity_E-(ImgBase+ImgExpOn*ImgExpAdd)),MAX(0,$K267-(LabBase+LabExpOn*LabExpAdd)))</f>
        <v>7</v>
      </c>
      <c r="O267" s="11">
        <f ca="1">MAX(MAX(0,($L267*(1+0.5*Acuity_N))-(Model!$G$26*(1+OTCapPct)*(Cap_Doc*$C267*(1-$G267)))),MAX(0,($L267)-(Model!$G$8*(1+OTCapPct)*(Cap_Nurse*$C267*(1-$H267)))),MAX(0,($L267)-(Model!$G$17*(1+OTCapPct)*(Cap_Tech*$C267*(1-$I267)))),MAX(0,$L267-((BedsCurrent+BedsAdded)*ShiftHours*$F267/BedHr_N)),MAX(0,$L267*Acuity_N-(ImgBase+ImgExpOn*ImgExpAdd)),MAX(0,$L267-(LabBase+LabExpOn*LabExpAdd)))</f>
        <v>0</v>
      </c>
      <c r="P267" s="11">
        <f t="shared" ca="1" si="59"/>
        <v>28</v>
      </c>
      <c r="Q267" s="17">
        <f ca="1">((MIN(OTCapPct*Model!$G$24,MAX(0,(($J267*(1+0.5*Acuity_M))/(Cap_Doc*$C267*(1-$G267)))-Model!$G$24)))*OTCost_Doc)+((MIN(OTCapPct*Model!$G$6,MAX(0,(($J267)/(Cap_Nurse*$C267*(1-$H267)))-Model!$G$6)))*OTCost_Nurse)+((MIN(OTCapPct*Model!$G$15,MAX(0,(($J267)/(Cap_Tech*$C267*(1-$I267)))-Model!$G$15)))*OTCost_Tech)+((MIN(OTCapPct*Model!$G$25,MAX(0,(($K267*(1+0.5*Acuity_E))/(Cap_Doc*$C267*(1-$G267)))-Model!$G$25)))*OTCost_Doc)+((MIN(OTCapPct*Model!$G$7,MAX(0,(($K267)/(Cap_Nurse*$C267*(1-$H267)))-Model!$G$7)))*OTCost_Nurse)+((MIN(OTCapPct*Model!$G$16,MAX(0,(($K267)/(Cap_Tech*$C267*(1-$I267)))-Model!$G$16)))*OTCost_Tech)+((MIN(OTCapPct*Model!$G$26,MAX(0,(($L267*(1+0.5*Acuity_N))/(Cap_Doc*$C267*(1-$G267)))-Model!$G$26)))*OTCost_Doc)+((MIN(OTCapPct*Model!$G$8,MAX(0,(($L267)/(Cap_Nurse*$C267*(1-$H267)))-Model!$G$8)))*OTCost_Nurse)+((MIN(OTCapPct*Model!$G$17,MAX(0,(($L267)/(Cap_Tech*$C267*(1-$I267)))-Model!$G$17)))*OTCost_Tech)</f>
        <v>32000</v>
      </c>
    </row>
    <row r="268" spans="1:17" x14ac:dyDescent="0.25">
      <c r="A268" s="11">
        <v>264</v>
      </c>
      <c r="B268" s="11" t="str">
        <f t="shared" ca="1" si="48"/>
        <v>Normal</v>
      </c>
      <c r="C268" s="11">
        <f t="shared" ca="1" si="49"/>
        <v>1</v>
      </c>
      <c r="D268" s="11">
        <f t="shared" ca="1" si="50"/>
        <v>0</v>
      </c>
      <c r="E268" s="11">
        <f t="shared" ca="1" si="51"/>
        <v>1</v>
      </c>
      <c r="F268" s="36">
        <f t="shared" ca="1" si="52"/>
        <v>0.94992967116106131</v>
      </c>
      <c r="G268" s="11">
        <f t="shared" ca="1" si="53"/>
        <v>7.1087798537913985E-2</v>
      </c>
      <c r="H268" s="11">
        <f t="shared" ca="1" si="54"/>
        <v>3.1311281703313432E-2</v>
      </c>
      <c r="I268" s="11">
        <f t="shared" ca="1" si="55"/>
        <v>5.6030989700873786E-2</v>
      </c>
      <c r="J268" s="11">
        <f t="shared" ca="1" si="56"/>
        <v>92</v>
      </c>
      <c r="K268" s="11">
        <f t="shared" ca="1" si="57"/>
        <v>117</v>
      </c>
      <c r="L268" s="11">
        <f t="shared" ca="1" si="58"/>
        <v>74</v>
      </c>
      <c r="M268" s="11">
        <f ca="1">MAX(MAX(0,($J268*(1+0.5*Acuity_M))-(Model!$G$24*(1+OTCapPct)*(Cap_Doc*$C268*(1-$G268)))),MAX(0,($J268)-(Model!$G$6*(1+OTCapPct)*(Cap_Nurse*$C268*(1-$H268)))),MAX(0,($J268)-(Model!$G$15*(1+OTCapPct)*(Cap_Tech*$C268*(1-$I268)))),MAX(0,$J268-((BedsCurrent+BedsAdded)*ShiftHours*$F268/BedHr_M)),MAX(0,$J268*Acuity_M-(ImgBase+ImgExpOn*ImgExpAdd)),MAX(0,$J268-(LabBase+LabExpOn*LabExpAdd)))</f>
        <v>0</v>
      </c>
      <c r="N268" s="11">
        <f ca="1">MAX(MAX(0,($K268*(1+0.5*Acuity_E))-(Model!$G$25*(1+OTCapPct)*(Cap_Doc*$C268*(1-$G268)))),MAX(0,($K268)-(Model!$G$7*(1+OTCapPct)*(Cap_Nurse*$C268*(1-$H268)))),MAX(0,($K268)-(Model!$G$16*(1+OTCapPct)*(Cap_Tech*$C268*(1-$I268)))),MAX(0,$K268-((BedsCurrent+BedsAdded)*ShiftHours*$F268/BedHr_E)),MAX(0,$K268*Acuity_E-(ImgBase+ImgExpOn*ImgExpAdd)),MAX(0,$K268-(LabBase+LabExpOn*LabExpAdd)))</f>
        <v>22</v>
      </c>
      <c r="O268" s="11">
        <f ca="1">MAX(MAX(0,($L268*(1+0.5*Acuity_N))-(Model!$G$26*(1+OTCapPct)*(Cap_Doc*$C268*(1-$G268)))),MAX(0,($L268)-(Model!$G$8*(1+OTCapPct)*(Cap_Nurse*$C268*(1-$H268)))),MAX(0,($L268)-(Model!$G$17*(1+OTCapPct)*(Cap_Tech*$C268*(1-$I268)))),MAX(0,$L268-((BedsCurrent+BedsAdded)*ShiftHours*$F268/BedHr_N)),MAX(0,$L268*Acuity_N-(ImgBase+ImgExpOn*ImgExpAdd)),MAX(0,$L268-(LabBase+LabExpOn*LabExpAdd)))</f>
        <v>1.4979018684122565</v>
      </c>
      <c r="P268" s="11">
        <f t="shared" ca="1" si="59"/>
        <v>23.497901868412256</v>
      </c>
      <c r="Q268" s="17">
        <f ca="1">((MIN(OTCapPct*Model!$G$24,MAX(0,(($J268*(1+0.5*Acuity_M))/(Cap_Doc*$C268*(1-$G268)))-Model!$G$24)))*OTCost_Doc)+((MIN(OTCapPct*Model!$G$6,MAX(0,(($J268)/(Cap_Nurse*$C268*(1-$H268)))-Model!$G$6)))*OTCost_Nurse)+((MIN(OTCapPct*Model!$G$15,MAX(0,(($J268)/(Cap_Tech*$C268*(1-$I268)))-Model!$G$15)))*OTCost_Tech)+((MIN(OTCapPct*Model!$G$25,MAX(0,(($K268*(1+0.5*Acuity_E))/(Cap_Doc*$C268*(1-$G268)))-Model!$G$25)))*OTCost_Doc)+((MIN(OTCapPct*Model!$G$7,MAX(0,(($K268)/(Cap_Nurse*$C268*(1-$H268)))-Model!$G$7)))*OTCost_Nurse)+((MIN(OTCapPct*Model!$G$16,MAX(0,(($K268)/(Cap_Tech*$C268*(1-$I268)))-Model!$G$16)))*OTCost_Tech)+((MIN(OTCapPct*Model!$G$26,MAX(0,(($L268*(1+0.5*Acuity_N))/(Cap_Doc*$C268*(1-$G268)))-Model!$G$26)))*OTCost_Doc)+((MIN(OTCapPct*Model!$G$8,MAX(0,(($L268)/(Cap_Nurse*$C268*(1-$H268)))-Model!$G$8)))*OTCost_Nurse)+((MIN(OTCapPct*Model!$G$17,MAX(0,(($L268)/(Cap_Tech*$C268*(1-$I268)))-Model!$G$17)))*OTCost_Tech)</f>
        <v>52289.257547885223</v>
      </c>
    </row>
    <row r="269" spans="1:17" x14ac:dyDescent="0.25">
      <c r="A269" s="11">
        <v>265</v>
      </c>
      <c r="B269" s="11" t="str">
        <f t="shared" ca="1" si="48"/>
        <v>Normal</v>
      </c>
      <c r="C269" s="11">
        <f t="shared" ca="1" si="49"/>
        <v>1</v>
      </c>
      <c r="D269" s="11">
        <f t="shared" ca="1" si="50"/>
        <v>0</v>
      </c>
      <c r="E269" s="11">
        <f t="shared" ca="1" si="51"/>
        <v>1</v>
      </c>
      <c r="F269" s="36">
        <f t="shared" ca="1" si="52"/>
        <v>1.0251875207452319</v>
      </c>
      <c r="G269" s="11">
        <f t="shared" ca="1" si="53"/>
        <v>0</v>
      </c>
      <c r="H269" s="11">
        <f t="shared" ca="1" si="54"/>
        <v>6.0995612568467132E-2</v>
      </c>
      <c r="I269" s="11">
        <f t="shared" ca="1" si="55"/>
        <v>2.9221301363253054E-2</v>
      </c>
      <c r="J269" s="11">
        <f t="shared" ca="1" si="56"/>
        <v>69</v>
      </c>
      <c r="K269" s="11">
        <f t="shared" ca="1" si="57"/>
        <v>102</v>
      </c>
      <c r="L269" s="11">
        <f t="shared" ca="1" si="58"/>
        <v>59</v>
      </c>
      <c r="M269" s="11">
        <f ca="1">MAX(MAX(0,($J269*(1+0.5*Acuity_M))-(Model!$G$24*(1+OTCapPct)*(Cap_Doc*$C269*(1-$G269)))),MAX(0,($J269)-(Model!$G$6*(1+OTCapPct)*(Cap_Nurse*$C269*(1-$H269)))),MAX(0,($J269)-(Model!$G$15*(1+OTCapPct)*(Cap_Tech*$C269*(1-$I269)))),MAX(0,$J269-((BedsCurrent+BedsAdded)*ShiftHours*$F269/BedHr_M)),MAX(0,$J269*Acuity_M-(ImgBase+ImgExpOn*ImgExpAdd)),MAX(0,$J269-(LabBase+LabExpOn*LabExpAdd)))</f>
        <v>0</v>
      </c>
      <c r="N269" s="11">
        <f ca="1">MAX(MAX(0,($K269*(1+0.5*Acuity_E))-(Model!$G$25*(1+OTCapPct)*(Cap_Doc*$C269*(1-$G269)))),MAX(0,($K269)-(Model!$G$7*(1+OTCapPct)*(Cap_Nurse*$C269*(1-$H269)))),MAX(0,($K269)-(Model!$G$16*(1+OTCapPct)*(Cap_Tech*$C269*(1-$I269)))),MAX(0,$K269-((BedsCurrent+BedsAdded)*ShiftHours*$F269/BedHr_E)),MAX(0,$K269*Acuity_E-(ImgBase+ImgExpOn*ImgExpAdd)),MAX(0,$K269-(LabBase+LabExpOn*LabExpAdd)))</f>
        <v>7</v>
      </c>
      <c r="O269" s="11">
        <f ca="1">MAX(MAX(0,($L269*(1+0.5*Acuity_N))-(Model!$G$26*(1+OTCapPct)*(Cap_Doc*$C269*(1-$G269)))),MAX(0,($L269)-(Model!$G$8*(1+OTCapPct)*(Cap_Nurse*$C269*(1-$H269)))),MAX(0,($L269)-(Model!$G$17*(1+OTCapPct)*(Cap_Tech*$C269*(1-$I269)))),MAX(0,$L269-((BedsCurrent+BedsAdded)*ShiftHours*$F269/BedHr_N)),MAX(0,$L269*Acuity_N-(ImgBase+ImgExpOn*ImgExpAdd)),MAX(0,$L269-(LabBase+LabExpOn*LabExpAdd)))</f>
        <v>0</v>
      </c>
      <c r="P269" s="11">
        <f t="shared" ca="1" si="59"/>
        <v>7</v>
      </c>
      <c r="Q269" s="17">
        <f ca="1">((MIN(OTCapPct*Model!$G$24,MAX(0,(($J269*(1+0.5*Acuity_M))/(Cap_Doc*$C269*(1-$G269)))-Model!$G$24)))*OTCost_Doc)+((MIN(OTCapPct*Model!$G$6,MAX(0,(($J269)/(Cap_Nurse*$C269*(1-$H269)))-Model!$G$6)))*OTCost_Nurse)+((MIN(OTCapPct*Model!$G$15,MAX(0,(($J269)/(Cap_Tech*$C269*(1-$I269)))-Model!$G$15)))*OTCost_Tech)+((MIN(OTCapPct*Model!$G$25,MAX(0,(($K269*(1+0.5*Acuity_E))/(Cap_Doc*$C269*(1-$G269)))-Model!$G$25)))*OTCost_Doc)+((MIN(OTCapPct*Model!$G$7,MAX(0,(($K269)/(Cap_Nurse*$C269*(1-$H269)))-Model!$G$7)))*OTCost_Nurse)+((MIN(OTCapPct*Model!$G$16,MAX(0,(($K269)/(Cap_Tech*$C269*(1-$I269)))-Model!$G$16)))*OTCost_Tech)+((MIN(OTCapPct*Model!$G$26,MAX(0,(($L269*(1+0.5*Acuity_N))/(Cap_Doc*$C269*(1-$G269)))-Model!$G$26)))*OTCost_Doc)+((MIN(OTCapPct*Model!$G$8,MAX(0,(($L269)/(Cap_Nurse*$C269*(1-$H269)))-Model!$G$8)))*OTCost_Nurse)+((MIN(OTCapPct*Model!$G$17,MAX(0,(($L269)/(Cap_Tech*$C269*(1-$I269)))-Model!$G$17)))*OTCost_Tech)</f>
        <v>0</v>
      </c>
    </row>
    <row r="270" spans="1:17" x14ac:dyDescent="0.25">
      <c r="A270" s="11">
        <v>266</v>
      </c>
      <c r="B270" s="11" t="str">
        <f t="shared" ca="1" si="48"/>
        <v>Complex</v>
      </c>
      <c r="C270" s="11">
        <f t="shared" ca="1" si="49"/>
        <v>0.9</v>
      </c>
      <c r="D270" s="11">
        <f t="shared" ca="1" si="50"/>
        <v>0</v>
      </c>
      <c r="E270" s="11">
        <f t="shared" ca="1" si="51"/>
        <v>2</v>
      </c>
      <c r="F270" s="36">
        <f t="shared" ca="1" si="52"/>
        <v>1.0382580451949768</v>
      </c>
      <c r="G270" s="11">
        <f t="shared" ca="1" si="53"/>
        <v>4.439536398752552E-2</v>
      </c>
      <c r="H270" s="11">
        <f t="shared" ca="1" si="54"/>
        <v>0.10302509289215699</v>
      </c>
      <c r="I270" s="11">
        <f t="shared" ca="1" si="55"/>
        <v>2.1379597464261282E-2</v>
      </c>
      <c r="J270" s="11">
        <f t="shared" ca="1" si="56"/>
        <v>110</v>
      </c>
      <c r="K270" s="11">
        <f t="shared" ca="1" si="57"/>
        <v>100</v>
      </c>
      <c r="L270" s="11">
        <f t="shared" ca="1" si="58"/>
        <v>78</v>
      </c>
      <c r="M270" s="11">
        <f ca="1">MAX(MAX(0,($J270*(1+0.5*Acuity_M))-(Model!$G$24*(1+OTCapPct)*(Cap_Doc*$C270*(1-$G270)))),MAX(0,($J270)-(Model!$G$6*(1+OTCapPct)*(Cap_Nurse*$C270*(1-$H270)))),MAX(0,($J270)-(Model!$G$15*(1+OTCapPct)*(Cap_Tech*$C270*(1-$I270)))),MAX(0,$J270-((BedsCurrent+BedsAdded)*ShiftHours*$F270/BedHr_M)),MAX(0,$J270*Acuity_M-(ImgBase+ImgExpOn*ImgExpAdd)),MAX(0,$J270-(LabBase+LabExpOn*LabExpAdd)))</f>
        <v>25.345030603736973</v>
      </c>
      <c r="N270" s="11">
        <f ca="1">MAX(MAX(0,($K270*(1+0.5*Acuity_E))-(Model!$G$25*(1+OTCapPct)*(Cap_Doc*$C270*(1-$G270)))),MAX(0,($K270)-(Model!$G$7*(1+OTCapPct)*(Cap_Nurse*$C270*(1-$H270)))),MAX(0,($K270)-(Model!$G$16*(1+OTCapPct)*(Cap_Tech*$C270*(1-$I270)))),MAX(0,$K270-((BedsCurrent+BedsAdded)*ShiftHours*$F270/BedHr_E)),MAX(0,$K270*Acuity_E-(ImgBase+ImgExpOn*ImgExpAdd)),MAX(0,$K270-(LabBase+LabExpOn*LabExpAdd)))</f>
        <v>5</v>
      </c>
      <c r="O270" s="11">
        <f ca="1">MAX(MAX(0,($L270*(1+0.5*Acuity_N))-(Model!$G$26*(1+OTCapPct)*(Cap_Doc*$C270*(1-$G270)))),MAX(0,($L270)-(Model!$G$8*(1+OTCapPct)*(Cap_Nurse*$C270*(1-$H270)))),MAX(0,($L270)-(Model!$G$17*(1+OTCapPct)*(Cap_Tech*$C270*(1-$I270)))),MAX(0,$L270-((BedsCurrent+BedsAdded)*ShiftHours*$F270/BedHr_N)),MAX(0,$L270*Acuity_N-(ImgBase+ImgExpOn*ImgExpAdd)),MAX(0,$L270-(LabBase+LabExpOn*LabExpAdd)))</f>
        <v>12.296024482989566</v>
      </c>
      <c r="P270" s="11">
        <f t="shared" ca="1" si="59"/>
        <v>42.641055086726539</v>
      </c>
      <c r="Q270" s="17">
        <f ca="1">((MIN(OTCapPct*Model!$G$24,MAX(0,(($J270*(1+0.5*Acuity_M))/(Cap_Doc*$C270*(1-$G270)))-Model!$G$24)))*OTCost_Doc)+((MIN(OTCapPct*Model!$G$6,MAX(0,(($J270)/(Cap_Nurse*$C270*(1-$H270)))-Model!$G$6)))*OTCost_Nurse)+((MIN(OTCapPct*Model!$G$15,MAX(0,(($J270)/(Cap_Tech*$C270*(1-$I270)))-Model!$G$15)))*OTCost_Tech)+((MIN(OTCapPct*Model!$G$25,MAX(0,(($K270*(1+0.5*Acuity_E))/(Cap_Doc*$C270*(1-$G270)))-Model!$G$25)))*OTCost_Doc)+((MIN(OTCapPct*Model!$G$7,MAX(0,(($K270)/(Cap_Nurse*$C270*(1-$H270)))-Model!$G$7)))*OTCost_Nurse)+((MIN(OTCapPct*Model!$G$16,MAX(0,(($K270)/(Cap_Tech*$C270*(1-$I270)))-Model!$G$16)))*OTCost_Tech)+((MIN(OTCapPct*Model!$G$26,MAX(0,(($L270*(1+0.5*Acuity_N))/(Cap_Doc*$C270*(1-$G270)))-Model!$G$26)))*OTCost_Doc)+((MIN(OTCapPct*Model!$G$8,MAX(0,(($L270)/(Cap_Nurse*$C270*(1-$H270)))-Model!$G$8)))*OTCost_Nurse)+((MIN(OTCapPct*Model!$G$17,MAX(0,(($L270)/(Cap_Tech*$C270*(1-$I270)))-Model!$G$17)))*OTCost_Tech)</f>
        <v>62261.45705206148</v>
      </c>
    </row>
    <row r="271" spans="1:17" x14ac:dyDescent="0.25">
      <c r="A271" s="11">
        <v>267</v>
      </c>
      <c r="B271" s="11" t="str">
        <f t="shared" ca="1" si="48"/>
        <v>Normal</v>
      </c>
      <c r="C271" s="11">
        <f t="shared" ca="1" si="49"/>
        <v>1</v>
      </c>
      <c r="D271" s="11">
        <f t="shared" ca="1" si="50"/>
        <v>1</v>
      </c>
      <c r="E271" s="11">
        <f t="shared" ca="1" si="51"/>
        <v>2</v>
      </c>
      <c r="F271" s="36">
        <f t="shared" ca="1" si="52"/>
        <v>0.9085692205753394</v>
      </c>
      <c r="G271" s="11">
        <f t="shared" ca="1" si="53"/>
        <v>0.11752458763812823</v>
      </c>
      <c r="H271" s="11">
        <f t="shared" ca="1" si="54"/>
        <v>6.1717399322354462E-2</v>
      </c>
      <c r="I271" s="11">
        <f t="shared" ca="1" si="55"/>
        <v>0</v>
      </c>
      <c r="J271" s="11">
        <f t="shared" ca="1" si="56"/>
        <v>99</v>
      </c>
      <c r="K271" s="11">
        <f t="shared" ca="1" si="57"/>
        <v>151</v>
      </c>
      <c r="L271" s="11">
        <f t="shared" ca="1" si="58"/>
        <v>60</v>
      </c>
      <c r="M271" s="11">
        <f ca="1">MAX(MAX(0,($J271*(1+0.5*Acuity_M))-(Model!$G$24*(1+OTCapPct)*(Cap_Doc*$C271*(1-$G271)))),MAX(0,($J271)-(Model!$G$6*(1+OTCapPct)*(Cap_Nurse*$C271*(1-$H271)))),MAX(0,($J271)-(Model!$G$15*(1+OTCapPct)*(Cap_Tech*$C271*(1-$I271)))),MAX(0,$J271-((BedsCurrent+BedsAdded)*ShiftHours*$F271/BedHr_M)),MAX(0,$J271*Acuity_M-(ImgBase+ImgExpOn*ImgExpAdd)),MAX(0,$J271-(LabBase+LabExpOn*LabExpAdd)))</f>
        <v>10.61151610928944</v>
      </c>
      <c r="N271" s="11">
        <f ca="1">MAX(MAX(0,($K271*(1+0.5*Acuity_E))-(Model!$G$25*(1+OTCapPct)*(Cap_Doc*$C271*(1-$G271)))),MAX(0,($K271)-(Model!$G$7*(1+OTCapPct)*(Cap_Nurse*$C271*(1-$H271)))),MAX(0,($K271)-(Model!$G$16*(1+OTCapPct)*(Cap_Tech*$C271*(1-$I271)))),MAX(0,$K271-((BedsCurrent+BedsAdded)*ShiftHours*$F271/BedHr_E)),MAX(0,$K271*Acuity_E-(ImgBase+ImgExpOn*ImgExpAdd)),MAX(0,$K271-(LabBase+LabExpOn*LabExpAdd)))</f>
        <v>56</v>
      </c>
      <c r="O271" s="11">
        <f ca="1">MAX(MAX(0,($L271*(1+0.5*Acuity_N))-(Model!$G$26*(1+OTCapPct)*(Cap_Doc*$C271*(1-$G271)))),MAX(0,($L271)-(Model!$G$8*(1+OTCapPct)*(Cap_Nurse*$C271*(1-$H271)))),MAX(0,($L271)-(Model!$G$17*(1+OTCapPct)*(Cap_Tech*$C271*(1-$I271)))),MAX(0,$L271-((BedsCurrent+BedsAdded)*ShiftHours*$F271/BedHr_N)),MAX(0,$L271*Acuity_N-(ImgBase+ImgExpOn*ImgExpAdd)),MAX(0,$L271-(LabBase+LabExpOn*LabExpAdd)))</f>
        <v>0</v>
      </c>
      <c r="P271" s="11">
        <f t="shared" ca="1" si="59"/>
        <v>66.61151610928944</v>
      </c>
      <c r="Q271" s="17">
        <f ca="1">((MIN(OTCapPct*Model!$G$24,MAX(0,(($J271*(1+0.5*Acuity_M))/(Cap_Doc*$C271*(1-$G271)))-Model!$G$24)))*OTCost_Doc)+((MIN(OTCapPct*Model!$G$6,MAX(0,(($J271)/(Cap_Nurse*$C271*(1-$H271)))-Model!$G$6)))*OTCost_Nurse)+((MIN(OTCapPct*Model!$G$15,MAX(0,(($J271)/(Cap_Tech*$C271*(1-$I271)))-Model!$G$15)))*OTCost_Tech)+((MIN(OTCapPct*Model!$G$25,MAX(0,(($K271*(1+0.5*Acuity_E))/(Cap_Doc*$C271*(1-$G271)))-Model!$G$25)))*OTCost_Doc)+((MIN(OTCapPct*Model!$G$7,MAX(0,(($K271)/(Cap_Nurse*$C271*(1-$H271)))-Model!$G$7)))*OTCost_Nurse)+((MIN(OTCapPct*Model!$G$16,MAX(0,(($K271)/(Cap_Tech*$C271*(1-$I271)))-Model!$G$16)))*OTCost_Tech)+((MIN(OTCapPct*Model!$G$26,MAX(0,(($L271*(1+0.5*Acuity_N))/(Cap_Doc*$C271*(1-$G271)))-Model!$G$26)))*OTCost_Doc)+((MIN(OTCapPct*Model!$G$8,MAX(0,(($L271)/(Cap_Nurse*$C271*(1-$H271)))-Model!$G$8)))*OTCost_Nurse)+((MIN(OTCapPct*Model!$G$17,MAX(0,(($L271)/(Cap_Tech*$C271*(1-$I271)))-Model!$G$17)))*OTCost_Tech)</f>
        <v>79266.860470078638</v>
      </c>
    </row>
    <row r="272" spans="1:17" x14ac:dyDescent="0.25">
      <c r="A272" s="11">
        <v>268</v>
      </c>
      <c r="B272" s="11" t="str">
        <f t="shared" ca="1" si="48"/>
        <v>Normal</v>
      </c>
      <c r="C272" s="11">
        <f t="shared" ca="1" si="49"/>
        <v>1</v>
      </c>
      <c r="D272" s="11">
        <f t="shared" ca="1" si="50"/>
        <v>0</v>
      </c>
      <c r="E272" s="11">
        <f t="shared" ca="1" si="51"/>
        <v>3</v>
      </c>
      <c r="F272" s="36">
        <f t="shared" ca="1" si="52"/>
        <v>1.0332456426332657</v>
      </c>
      <c r="G272" s="11">
        <f t="shared" ca="1" si="53"/>
        <v>4.9969392491996181E-3</v>
      </c>
      <c r="H272" s="11">
        <f t="shared" ca="1" si="54"/>
        <v>2.0243202514099258E-2</v>
      </c>
      <c r="I272" s="11">
        <f t="shared" ca="1" si="55"/>
        <v>2.2712994535331481E-2</v>
      </c>
      <c r="J272" s="11">
        <f t="shared" ca="1" si="56"/>
        <v>82</v>
      </c>
      <c r="K272" s="11">
        <f t="shared" ca="1" si="57"/>
        <v>128</v>
      </c>
      <c r="L272" s="11">
        <f t="shared" ca="1" si="58"/>
        <v>61</v>
      </c>
      <c r="M272" s="11">
        <f ca="1">MAX(MAX(0,($J272*(1+0.5*Acuity_M))-(Model!$G$24*(1+OTCapPct)*(Cap_Doc*$C272*(1-$G272)))),MAX(0,($J272)-(Model!$G$6*(1+OTCapPct)*(Cap_Nurse*$C272*(1-$H272)))),MAX(0,($J272)-(Model!$G$15*(1+OTCapPct)*(Cap_Tech*$C272*(1-$I272)))),MAX(0,$J272-((BedsCurrent+BedsAdded)*ShiftHours*$F272/BedHr_M)),MAX(0,$J272*Acuity_M-(ImgBase+ImgExpOn*ImgExpAdd)),MAX(0,$J272-(LabBase+LabExpOn*LabExpAdd)))</f>
        <v>0</v>
      </c>
      <c r="N272" s="11">
        <f ca="1">MAX(MAX(0,($K272*(1+0.5*Acuity_E))-(Model!$G$25*(1+OTCapPct)*(Cap_Doc*$C272*(1-$G272)))),MAX(0,($K272)-(Model!$G$7*(1+OTCapPct)*(Cap_Nurse*$C272*(1-$H272)))),MAX(0,($K272)-(Model!$G$16*(1+OTCapPct)*(Cap_Tech*$C272*(1-$I272)))),MAX(0,$K272-((BedsCurrent+BedsAdded)*ShiftHours*$F272/BedHr_E)),MAX(0,$K272*Acuity_E-(ImgBase+ImgExpOn*ImgExpAdd)),MAX(0,$K272-(LabBase+LabExpOn*LabExpAdd)))</f>
        <v>33</v>
      </c>
      <c r="O272" s="11">
        <f ca="1">MAX(MAX(0,($L272*(1+0.5*Acuity_N))-(Model!$G$26*(1+OTCapPct)*(Cap_Doc*$C272*(1-$G272)))),MAX(0,($L272)-(Model!$G$8*(1+OTCapPct)*(Cap_Nurse*$C272*(1-$H272)))),MAX(0,($L272)-(Model!$G$17*(1+OTCapPct)*(Cap_Tech*$C272*(1-$I272)))),MAX(0,$L272-((BedsCurrent+BedsAdded)*ShiftHours*$F272/BedHr_N)),MAX(0,$L272*Acuity_N-(ImgBase+ImgExpOn*ImgExpAdd)),MAX(0,$L272-(LabBase+LabExpOn*LabExpAdd)))</f>
        <v>0</v>
      </c>
      <c r="P272" s="11">
        <f t="shared" ca="1" si="59"/>
        <v>33</v>
      </c>
      <c r="Q272" s="17">
        <f ca="1">((MIN(OTCapPct*Model!$G$24,MAX(0,(($J272*(1+0.5*Acuity_M))/(Cap_Doc*$C272*(1-$G272)))-Model!$G$24)))*OTCost_Doc)+((MIN(OTCapPct*Model!$G$6,MAX(0,(($J272)/(Cap_Nurse*$C272*(1-$H272)))-Model!$G$6)))*OTCost_Nurse)+((MIN(OTCapPct*Model!$G$15,MAX(0,(($J272)/(Cap_Tech*$C272*(1-$I272)))-Model!$G$15)))*OTCost_Tech)+((MIN(OTCapPct*Model!$G$25,MAX(0,(($K272*(1+0.5*Acuity_E))/(Cap_Doc*$C272*(1-$G272)))-Model!$G$25)))*OTCost_Doc)+((MIN(OTCapPct*Model!$G$7,MAX(0,(($K272)/(Cap_Nurse*$C272*(1-$H272)))-Model!$G$7)))*OTCost_Nurse)+((MIN(OTCapPct*Model!$G$16,MAX(0,(($K272)/(Cap_Tech*$C272*(1-$I272)))-Model!$G$16)))*OTCost_Tech)+((MIN(OTCapPct*Model!$G$26,MAX(0,(($L272*(1+0.5*Acuity_N))/(Cap_Doc*$C272*(1-$G272)))-Model!$G$26)))*OTCost_Doc)+((MIN(OTCapPct*Model!$G$8,MAX(0,(($L272)/(Cap_Nurse*$C272*(1-$H272)))-Model!$G$8)))*OTCost_Nurse)+((MIN(OTCapPct*Model!$G$17,MAX(0,(($L272)/(Cap_Tech*$C272*(1-$I272)))-Model!$G$17)))*OTCost_Tech)</f>
        <v>24192.439984275727</v>
      </c>
    </row>
    <row r="273" spans="1:17" x14ac:dyDescent="0.25">
      <c r="A273" s="11">
        <v>269</v>
      </c>
      <c r="B273" s="11" t="str">
        <f t="shared" ca="1" si="48"/>
        <v>Severe</v>
      </c>
      <c r="C273" s="11">
        <f t="shared" ca="1" si="49"/>
        <v>0.8</v>
      </c>
      <c r="D273" s="11">
        <f t="shared" ca="1" si="50"/>
        <v>0</v>
      </c>
      <c r="E273" s="11">
        <f t="shared" ca="1" si="51"/>
        <v>3</v>
      </c>
      <c r="F273" s="36">
        <f t="shared" ca="1" si="52"/>
        <v>1.1786519280232213</v>
      </c>
      <c r="G273" s="11">
        <f t="shared" ca="1" si="53"/>
        <v>0.11280921442085906</v>
      </c>
      <c r="H273" s="11">
        <f t="shared" ca="1" si="54"/>
        <v>3.8225453981596963E-2</v>
      </c>
      <c r="I273" s="11">
        <f t="shared" ca="1" si="55"/>
        <v>0.18523331931621517</v>
      </c>
      <c r="J273" s="11">
        <f t="shared" ca="1" si="56"/>
        <v>82</v>
      </c>
      <c r="K273" s="11">
        <f t="shared" ca="1" si="57"/>
        <v>119</v>
      </c>
      <c r="L273" s="11">
        <f t="shared" ca="1" si="58"/>
        <v>55</v>
      </c>
      <c r="M273" s="11">
        <f ca="1">MAX(MAX(0,($J273*(1+0.5*Acuity_M))-(Model!$G$24*(1+OTCapPct)*(Cap_Doc*$C273*(1-$G273)))),MAX(0,($J273)-(Model!$G$6*(1+OTCapPct)*(Cap_Nurse*$C273*(1-$H273)))),MAX(0,($J273)-(Model!$G$15*(1+OTCapPct)*(Cap_Tech*$C273*(1-$I273)))),MAX(0,$J273-((BedsCurrent+BedsAdded)*ShiftHours*$F273/BedHr_M)),MAX(0,$J273*Acuity_M-(ImgBase+ImgExpOn*ImgExpAdd)),MAX(0,$J273-(LabBase+LabExpOn*LabExpAdd)))</f>
        <v>11.172829297877314</v>
      </c>
      <c r="N273" s="11">
        <f ca="1">MAX(MAX(0,($K273*(1+0.5*Acuity_E))-(Model!$G$25*(1+OTCapPct)*(Cap_Doc*$C273*(1-$G273)))),MAX(0,($K273)-(Model!$G$7*(1+OTCapPct)*(Cap_Nurse*$C273*(1-$H273)))),MAX(0,($K273)-(Model!$G$16*(1+OTCapPct)*(Cap_Tech*$C273*(1-$I273)))),MAX(0,$K273-((BedsCurrent+BedsAdded)*ShiftHours*$F273/BedHr_E)),MAX(0,$K273*Acuity_E-(ImgBase+ImgExpOn*ImgExpAdd)),MAX(0,$K273-(LabBase+LabExpOn*LabExpAdd)))</f>
        <v>24</v>
      </c>
      <c r="O273" s="11">
        <f ca="1">MAX(MAX(0,($L273*(1+0.5*Acuity_N))-(Model!$G$26*(1+OTCapPct)*(Cap_Doc*$C273*(1-$G273)))),MAX(0,($L273)-(Model!$G$8*(1+OTCapPct)*(Cap_Nurse*$C273*(1-$H273)))),MAX(0,($L273)-(Model!$G$17*(1+OTCapPct)*(Cap_Tech*$C273*(1-$I273)))),MAX(0,$L273-((BedsCurrent+BedsAdded)*ShiftHours*$F273/BedHr_N)),MAX(0,$L273*Acuity_N-(ImgBase+ImgExpOn*ImgExpAdd)),MAX(0,$L273-(LabBase+LabExpOn*LabExpAdd)))</f>
        <v>0</v>
      </c>
      <c r="P273" s="11">
        <f t="shared" ca="1" si="59"/>
        <v>35.172829297877314</v>
      </c>
      <c r="Q273" s="17">
        <f ca="1">((MIN(OTCapPct*Model!$G$24,MAX(0,(($J273*(1+0.5*Acuity_M))/(Cap_Doc*$C273*(1-$G273)))-Model!$G$24)))*OTCost_Doc)+((MIN(OTCapPct*Model!$G$6,MAX(0,(($J273)/(Cap_Nurse*$C273*(1-$H273)))-Model!$G$6)))*OTCost_Nurse)+((MIN(OTCapPct*Model!$G$15,MAX(0,(($J273)/(Cap_Tech*$C273*(1-$I273)))-Model!$G$15)))*OTCost_Tech)+((MIN(OTCapPct*Model!$G$25,MAX(0,(($K273*(1+0.5*Acuity_E))/(Cap_Doc*$C273*(1-$G273)))-Model!$G$25)))*OTCost_Doc)+((MIN(OTCapPct*Model!$G$7,MAX(0,(($K273)/(Cap_Nurse*$C273*(1-$H273)))-Model!$G$7)))*OTCost_Nurse)+((MIN(OTCapPct*Model!$G$16,MAX(0,(($K273)/(Cap_Tech*$C273*(1-$I273)))-Model!$G$16)))*OTCost_Tech)+((MIN(OTCapPct*Model!$G$26,MAX(0,(($L273*(1+0.5*Acuity_N))/(Cap_Doc*$C273*(1-$G273)))-Model!$G$26)))*OTCost_Doc)+((MIN(OTCapPct*Model!$G$8,MAX(0,(($L273)/(Cap_Nurse*$C273*(1-$H273)))-Model!$G$8)))*OTCost_Nurse)+((MIN(OTCapPct*Model!$G$17,MAX(0,(($L273)/(Cap_Tech*$C273*(1-$I273)))-Model!$G$17)))*OTCost_Tech)</f>
        <v>89711.666885907907</v>
      </c>
    </row>
    <row r="274" spans="1:17" x14ac:dyDescent="0.25">
      <c r="A274" s="11">
        <v>270</v>
      </c>
      <c r="B274" s="11" t="str">
        <f t="shared" ca="1" si="48"/>
        <v>Normal</v>
      </c>
      <c r="C274" s="11">
        <f t="shared" ca="1" si="49"/>
        <v>1</v>
      </c>
      <c r="D274" s="11">
        <f t="shared" ca="1" si="50"/>
        <v>0</v>
      </c>
      <c r="E274" s="11">
        <f t="shared" ca="1" si="51"/>
        <v>2</v>
      </c>
      <c r="F274" s="36">
        <f t="shared" ca="1" si="52"/>
        <v>1.1246696646110657</v>
      </c>
      <c r="G274" s="11">
        <f t="shared" ca="1" si="53"/>
        <v>5.2817286822690539E-2</v>
      </c>
      <c r="H274" s="11">
        <f t="shared" ca="1" si="54"/>
        <v>0.11298429153116081</v>
      </c>
      <c r="I274" s="11">
        <f t="shared" ca="1" si="55"/>
        <v>0.14164187589045246</v>
      </c>
      <c r="J274" s="11">
        <f t="shared" ca="1" si="56"/>
        <v>61</v>
      </c>
      <c r="K274" s="11">
        <f t="shared" ca="1" si="57"/>
        <v>134</v>
      </c>
      <c r="L274" s="11">
        <f t="shared" ca="1" si="58"/>
        <v>60</v>
      </c>
      <c r="M274" s="11">
        <f ca="1">MAX(MAX(0,($J274*(1+0.5*Acuity_M))-(Model!$G$24*(1+OTCapPct)*(Cap_Doc*$C274*(1-$G274)))),MAX(0,($J274)-(Model!$G$6*(1+OTCapPct)*(Cap_Nurse*$C274*(1-$H274)))),MAX(0,($J274)-(Model!$G$15*(1+OTCapPct)*(Cap_Tech*$C274*(1-$I274)))),MAX(0,$J274-((BedsCurrent+BedsAdded)*ShiftHours*$F274/BedHr_M)),MAX(0,$J274*Acuity_M-(ImgBase+ImgExpOn*ImgExpAdd)),MAX(0,$J274-(LabBase+LabExpOn*LabExpAdd)))</f>
        <v>0</v>
      </c>
      <c r="N274" s="11">
        <f ca="1">MAX(MAX(0,($K274*(1+0.5*Acuity_E))-(Model!$G$25*(1+OTCapPct)*(Cap_Doc*$C274*(1-$G274)))),MAX(0,($K274)-(Model!$G$7*(1+OTCapPct)*(Cap_Nurse*$C274*(1-$H274)))),MAX(0,($K274)-(Model!$G$16*(1+OTCapPct)*(Cap_Tech*$C274*(1-$I274)))),MAX(0,$K274-((BedsCurrent+BedsAdded)*ShiftHours*$F274/BedHr_E)),MAX(0,$K274*Acuity_E-(ImgBase+ImgExpOn*ImgExpAdd)),MAX(0,$K274-(LabBase+LabExpOn*LabExpAdd)))</f>
        <v>39</v>
      </c>
      <c r="O274" s="11">
        <f ca="1">MAX(MAX(0,($L274*(1+0.5*Acuity_N))-(Model!$G$26*(1+OTCapPct)*(Cap_Doc*$C274*(1-$G274)))),MAX(0,($L274)-(Model!$G$8*(1+OTCapPct)*(Cap_Nurse*$C274*(1-$H274)))),MAX(0,($L274)-(Model!$G$17*(1+OTCapPct)*(Cap_Tech*$C274*(1-$I274)))),MAX(0,$L274-((BedsCurrent+BedsAdded)*ShiftHours*$F274/BedHr_N)),MAX(0,$L274*Acuity_N-(ImgBase+ImgExpOn*ImgExpAdd)),MAX(0,$L274-(LabBase+LabExpOn*LabExpAdd)))</f>
        <v>0</v>
      </c>
      <c r="P274" s="11">
        <f t="shared" ca="1" si="59"/>
        <v>39</v>
      </c>
      <c r="Q274" s="17">
        <f ca="1">((MIN(OTCapPct*Model!$G$24,MAX(0,(($J274*(1+0.5*Acuity_M))/(Cap_Doc*$C274*(1-$G274)))-Model!$G$24)))*OTCost_Doc)+((MIN(OTCapPct*Model!$G$6,MAX(0,(($J274)/(Cap_Nurse*$C274*(1-$H274)))-Model!$G$6)))*OTCost_Nurse)+((MIN(OTCapPct*Model!$G$15,MAX(0,(($J274)/(Cap_Tech*$C274*(1-$I274)))-Model!$G$15)))*OTCost_Tech)+((MIN(OTCapPct*Model!$G$25,MAX(0,(($K274*(1+0.5*Acuity_E))/(Cap_Doc*$C274*(1-$G274)))-Model!$G$25)))*OTCost_Doc)+((MIN(OTCapPct*Model!$G$7,MAX(0,(($K274)/(Cap_Nurse*$C274*(1-$H274)))-Model!$G$7)))*OTCost_Nurse)+((MIN(OTCapPct*Model!$G$16,MAX(0,(($K274)/(Cap_Tech*$C274*(1-$I274)))-Model!$G$16)))*OTCost_Tech)+((MIN(OTCapPct*Model!$G$26,MAX(0,(($L274*(1+0.5*Acuity_N))/(Cap_Doc*$C274*(1-$G274)))-Model!$G$26)))*OTCost_Doc)+((MIN(OTCapPct*Model!$G$8,MAX(0,(($L274)/(Cap_Nurse*$C274*(1-$H274)))-Model!$G$8)))*OTCost_Nurse)+((MIN(OTCapPct*Model!$G$17,MAX(0,(($L274)/(Cap_Tech*$C274*(1-$I274)))-Model!$G$17)))*OTCost_Tech)</f>
        <v>45510.709963926005</v>
      </c>
    </row>
    <row r="275" spans="1:17" x14ac:dyDescent="0.25">
      <c r="A275" s="11">
        <v>271</v>
      </c>
      <c r="B275" s="11" t="str">
        <f t="shared" ca="1" si="48"/>
        <v>Complex</v>
      </c>
      <c r="C275" s="11">
        <f t="shared" ca="1" si="49"/>
        <v>0.9</v>
      </c>
      <c r="D275" s="11">
        <f t="shared" ca="1" si="50"/>
        <v>0</v>
      </c>
      <c r="E275" s="11">
        <f t="shared" ca="1" si="51"/>
        <v>3</v>
      </c>
      <c r="F275" s="36">
        <f t="shared" ca="1" si="52"/>
        <v>1.0826284317582915</v>
      </c>
      <c r="G275" s="11">
        <f t="shared" ca="1" si="53"/>
        <v>5.2594586954063292E-2</v>
      </c>
      <c r="H275" s="11">
        <f t="shared" ca="1" si="54"/>
        <v>5.7562856902137659E-2</v>
      </c>
      <c r="I275" s="11">
        <f t="shared" ca="1" si="55"/>
        <v>0</v>
      </c>
      <c r="J275" s="11">
        <f t="shared" ca="1" si="56"/>
        <v>93</v>
      </c>
      <c r="K275" s="11">
        <f t="shared" ca="1" si="57"/>
        <v>123</v>
      </c>
      <c r="L275" s="11">
        <f t="shared" ca="1" si="58"/>
        <v>45</v>
      </c>
      <c r="M275" s="11">
        <f ca="1">MAX(MAX(0,($J275*(1+0.5*Acuity_M))-(Model!$G$24*(1+OTCapPct)*(Cap_Doc*$C275*(1-$G275)))),MAX(0,($J275)-(Model!$G$6*(1+OTCapPct)*(Cap_Nurse*$C275*(1-$H275)))),MAX(0,($J275)-(Model!$G$15*(1+OTCapPct)*(Cap_Tech*$C275*(1-$I275)))),MAX(0,$J275-((BedsCurrent+BedsAdded)*ShiftHours*$F275/BedHr_M)),MAX(0,$J275*Acuity_M-(ImgBase+ImgExpOn*ImgExpAdd)),MAX(0,$J275-(LabBase+LabExpOn*LabExpAdd)))</f>
        <v>7.3052019290989136</v>
      </c>
      <c r="N275" s="11">
        <f ca="1">MAX(MAX(0,($K275*(1+0.5*Acuity_E))-(Model!$G$25*(1+OTCapPct)*(Cap_Doc*$C275*(1-$G275)))),MAX(0,($K275)-(Model!$G$7*(1+OTCapPct)*(Cap_Nurse*$C275*(1-$H275)))),MAX(0,($K275)-(Model!$G$16*(1+OTCapPct)*(Cap_Tech*$C275*(1-$I275)))),MAX(0,$K275-((BedsCurrent+BedsAdded)*ShiftHours*$F275/BedHr_E)),MAX(0,$K275*Acuity_E-(ImgBase+ImgExpOn*ImgExpAdd)),MAX(0,$K275-(LabBase+LabExpOn*LabExpAdd)))</f>
        <v>28</v>
      </c>
      <c r="O275" s="11">
        <f ca="1">MAX(MAX(0,($L275*(1+0.5*Acuity_N))-(Model!$G$26*(1+OTCapPct)*(Cap_Doc*$C275*(1-$G275)))),MAX(0,($L275)-(Model!$G$8*(1+OTCapPct)*(Cap_Nurse*$C275*(1-$H275)))),MAX(0,($L275)-(Model!$G$17*(1+OTCapPct)*(Cap_Tech*$C275*(1-$I275)))),MAX(0,$L275-((BedsCurrent+BedsAdded)*ShiftHours*$F275/BedHr_N)),MAX(0,$L275*Acuity_N-(ImgBase+ImgExpOn*ImgExpAdd)),MAX(0,$L275-(LabBase+LabExpOn*LabExpAdd)))</f>
        <v>0</v>
      </c>
      <c r="P275" s="11">
        <f t="shared" ca="1" si="59"/>
        <v>35.305201929098914</v>
      </c>
      <c r="Q275" s="17">
        <f ca="1">((MIN(OTCapPct*Model!$G$24,MAX(0,(($J275*(1+0.5*Acuity_M))/(Cap_Doc*$C275*(1-$G275)))-Model!$G$24)))*OTCost_Doc)+((MIN(OTCapPct*Model!$G$6,MAX(0,(($J275)/(Cap_Nurse*$C275*(1-$H275)))-Model!$G$6)))*OTCost_Nurse)+((MIN(OTCapPct*Model!$G$15,MAX(0,(($J275)/(Cap_Tech*$C275*(1-$I275)))-Model!$G$15)))*OTCost_Tech)+((MIN(OTCapPct*Model!$G$25,MAX(0,(($K275*(1+0.5*Acuity_E))/(Cap_Doc*$C275*(1-$G275)))-Model!$G$25)))*OTCost_Doc)+((MIN(OTCapPct*Model!$G$7,MAX(0,(($K275)/(Cap_Nurse*$C275*(1-$H275)))-Model!$G$7)))*OTCost_Nurse)+((MIN(OTCapPct*Model!$G$16,MAX(0,(($K275)/(Cap_Tech*$C275*(1-$I275)))-Model!$G$16)))*OTCost_Tech)+((MIN(OTCapPct*Model!$G$26,MAX(0,(($L275*(1+0.5*Acuity_N))/(Cap_Doc*$C275*(1-$G275)))-Model!$G$26)))*OTCost_Doc)+((MIN(OTCapPct*Model!$G$8,MAX(0,(($L275)/(Cap_Nurse*$C275*(1-$H275)))-Model!$G$8)))*OTCost_Nurse)+((MIN(OTCapPct*Model!$G$17,MAX(0,(($L275)/(Cap_Tech*$C275*(1-$I275)))-Model!$G$17)))*OTCost_Tech)</f>
        <v>70424.299886932349</v>
      </c>
    </row>
    <row r="276" spans="1:17" x14ac:dyDescent="0.25">
      <c r="A276" s="11">
        <v>272</v>
      </c>
      <c r="B276" s="11" t="str">
        <f t="shared" ca="1" si="48"/>
        <v>Normal</v>
      </c>
      <c r="C276" s="11">
        <f t="shared" ca="1" si="49"/>
        <v>1</v>
      </c>
      <c r="D276" s="11">
        <f t="shared" ca="1" si="50"/>
        <v>0</v>
      </c>
      <c r="E276" s="11">
        <f t="shared" ca="1" si="51"/>
        <v>3</v>
      </c>
      <c r="F276" s="36">
        <f t="shared" ca="1" si="52"/>
        <v>0.9625992171244121</v>
      </c>
      <c r="G276" s="11">
        <f t="shared" ca="1" si="53"/>
        <v>7.9514286837205961E-2</v>
      </c>
      <c r="H276" s="11">
        <f t="shared" ca="1" si="54"/>
        <v>5.9719546058050937E-2</v>
      </c>
      <c r="I276" s="11">
        <f t="shared" ca="1" si="55"/>
        <v>9.7061905069416476E-2</v>
      </c>
      <c r="J276" s="11">
        <f t="shared" ca="1" si="56"/>
        <v>97</v>
      </c>
      <c r="K276" s="11">
        <f t="shared" ca="1" si="57"/>
        <v>117</v>
      </c>
      <c r="L276" s="11">
        <f t="shared" ca="1" si="58"/>
        <v>63</v>
      </c>
      <c r="M276" s="11">
        <f ca="1">MAX(MAX(0,($J276*(1+0.5*Acuity_M))-(Model!$G$24*(1+OTCapPct)*(Cap_Doc*$C276*(1-$G276)))),MAX(0,($J276)-(Model!$G$6*(1+OTCapPct)*(Cap_Nurse*$C276*(1-$H276)))),MAX(0,($J276)-(Model!$G$15*(1+OTCapPct)*(Cap_Tech*$C276*(1-$I276)))),MAX(0,$J276-((BedsCurrent+BedsAdded)*ShiftHours*$F276/BedHr_M)),MAX(0,$J276*Acuity_M-(ImgBase+ImgExpOn*ImgExpAdd)),MAX(0,$J276-(LabBase+LabExpOn*LabExpAdd)))</f>
        <v>4.1153572691856795</v>
      </c>
      <c r="N276" s="11">
        <f ca="1">MAX(MAX(0,($K276*(1+0.5*Acuity_E))-(Model!$G$25*(1+OTCapPct)*(Cap_Doc*$C276*(1-$G276)))),MAX(0,($K276)-(Model!$G$7*(1+OTCapPct)*(Cap_Nurse*$C276*(1-$H276)))),MAX(0,($K276)-(Model!$G$16*(1+OTCapPct)*(Cap_Tech*$C276*(1-$I276)))),MAX(0,$K276-((BedsCurrent+BedsAdded)*ShiftHours*$F276/BedHr_E)),MAX(0,$K276*Acuity_E-(ImgBase+ImgExpOn*ImgExpAdd)),MAX(0,$K276-(LabBase+LabExpOn*LabExpAdd)))</f>
        <v>22</v>
      </c>
      <c r="O276" s="11">
        <f ca="1">MAX(MAX(0,($L276*(1+0.5*Acuity_N))-(Model!$G$26*(1+OTCapPct)*(Cap_Doc*$C276*(1-$G276)))),MAX(0,($L276)-(Model!$G$8*(1+OTCapPct)*(Cap_Nurse*$C276*(1-$H276)))),MAX(0,($L276)-(Model!$G$17*(1+OTCapPct)*(Cap_Tech*$C276*(1-$I276)))),MAX(0,$L276-((BedsCurrent+BedsAdded)*ShiftHours*$F276/BedHr_N)),MAX(0,$L276*Acuity_N-(ImgBase+ImgExpOn*ImgExpAdd)),MAX(0,$L276-(LabBase+LabExpOn*LabExpAdd)))</f>
        <v>0</v>
      </c>
      <c r="P276" s="11">
        <f t="shared" ca="1" si="59"/>
        <v>26.115357269185679</v>
      </c>
      <c r="Q276" s="17">
        <f ca="1">((MIN(OTCapPct*Model!$G$24,MAX(0,(($J276*(1+0.5*Acuity_M))/(Cap_Doc*$C276*(1-$G276)))-Model!$G$24)))*OTCost_Doc)+((MIN(OTCapPct*Model!$G$6,MAX(0,(($J276)/(Cap_Nurse*$C276*(1-$H276)))-Model!$G$6)))*OTCost_Nurse)+((MIN(OTCapPct*Model!$G$15,MAX(0,(($J276)/(Cap_Tech*$C276*(1-$I276)))-Model!$G$15)))*OTCost_Tech)+((MIN(OTCapPct*Model!$G$25,MAX(0,(($K276*(1+0.5*Acuity_E))/(Cap_Doc*$C276*(1-$G276)))-Model!$G$25)))*OTCost_Doc)+((MIN(OTCapPct*Model!$G$7,MAX(0,(($K276)/(Cap_Nurse*$C276*(1-$H276)))-Model!$G$7)))*OTCost_Nurse)+((MIN(OTCapPct*Model!$G$16,MAX(0,(($K276)/(Cap_Tech*$C276*(1-$I276)))-Model!$G$16)))*OTCost_Tech)+((MIN(OTCapPct*Model!$G$26,MAX(0,(($L276*(1+0.5*Acuity_N))/(Cap_Doc*$C276*(1-$G276)))-Model!$G$26)))*OTCost_Doc)+((MIN(OTCapPct*Model!$G$8,MAX(0,(($L276)/(Cap_Nurse*$C276*(1-$H276)))-Model!$G$8)))*OTCost_Nurse)+((MIN(OTCapPct*Model!$G$17,MAX(0,(($L276)/(Cap_Tech*$C276*(1-$I276)))-Model!$G$17)))*OTCost_Tech)</f>
        <v>53362.154196100935</v>
      </c>
    </row>
    <row r="277" spans="1:17" x14ac:dyDescent="0.25">
      <c r="A277" s="11">
        <v>273</v>
      </c>
      <c r="B277" s="11" t="str">
        <f t="shared" ca="1" si="48"/>
        <v>Normal</v>
      </c>
      <c r="C277" s="11">
        <f t="shared" ca="1" si="49"/>
        <v>1</v>
      </c>
      <c r="D277" s="11">
        <f t="shared" ca="1" si="50"/>
        <v>0</v>
      </c>
      <c r="E277" s="11">
        <f t="shared" ca="1" si="51"/>
        <v>2</v>
      </c>
      <c r="F277" s="36">
        <f t="shared" ca="1" si="52"/>
        <v>0.87701201201809176</v>
      </c>
      <c r="G277" s="11">
        <f t="shared" ca="1" si="53"/>
        <v>7.1095574970232084E-2</v>
      </c>
      <c r="H277" s="11">
        <f t="shared" ca="1" si="54"/>
        <v>0.14786645484580813</v>
      </c>
      <c r="I277" s="11">
        <f t="shared" ca="1" si="55"/>
        <v>3.6600351773536079E-2</v>
      </c>
      <c r="J277" s="11">
        <f t="shared" ca="1" si="56"/>
        <v>88</v>
      </c>
      <c r="K277" s="11">
        <f t="shared" ca="1" si="57"/>
        <v>114</v>
      </c>
      <c r="L277" s="11">
        <f t="shared" ca="1" si="58"/>
        <v>52</v>
      </c>
      <c r="M277" s="11">
        <f ca="1">MAX(MAX(0,($J277*(1+0.5*Acuity_M))-(Model!$G$24*(1+OTCapPct)*(Cap_Doc*$C277*(1-$G277)))),MAX(0,($J277)-(Model!$G$6*(1+OTCapPct)*(Cap_Nurse*$C277*(1-$H277)))),MAX(0,($J277)-(Model!$G$15*(1+OTCapPct)*(Cap_Tech*$C277*(1-$I277)))),MAX(0,$J277-((BedsCurrent+BedsAdded)*ShiftHours*$F277/BedHr_M)),MAX(0,$J277*Acuity_M-(ImgBase+ImgExpOn*ImgExpAdd)),MAX(0,$J277-(LabBase+LabExpOn*LabExpAdd)))</f>
        <v>0</v>
      </c>
      <c r="N277" s="11">
        <f ca="1">MAX(MAX(0,($K277*(1+0.5*Acuity_E))-(Model!$G$25*(1+OTCapPct)*(Cap_Doc*$C277*(1-$G277)))),MAX(0,($K277)-(Model!$G$7*(1+OTCapPct)*(Cap_Nurse*$C277*(1-$H277)))),MAX(0,($K277)-(Model!$G$16*(1+OTCapPct)*(Cap_Tech*$C277*(1-$I277)))),MAX(0,$K277-((BedsCurrent+BedsAdded)*ShiftHours*$F277/BedHr_E)),MAX(0,$K277*Acuity_E-(ImgBase+ImgExpOn*ImgExpAdd)),MAX(0,$K277-(LabBase+LabExpOn*LabExpAdd)))</f>
        <v>19</v>
      </c>
      <c r="O277" s="11">
        <f ca="1">MAX(MAX(0,($L277*(1+0.5*Acuity_N))-(Model!$G$26*(1+OTCapPct)*(Cap_Doc*$C277*(1-$G277)))),MAX(0,($L277)-(Model!$G$8*(1+OTCapPct)*(Cap_Nurse*$C277*(1-$H277)))),MAX(0,($L277)-(Model!$G$17*(1+OTCapPct)*(Cap_Tech*$C277*(1-$I277)))),MAX(0,$L277-((BedsCurrent+BedsAdded)*ShiftHours*$F277/BedHr_N)),MAX(0,$L277*Acuity_N-(ImgBase+ImgExpOn*ImgExpAdd)),MAX(0,$L277-(LabBase+LabExpOn*LabExpAdd)))</f>
        <v>0</v>
      </c>
      <c r="P277" s="11">
        <f t="shared" ca="1" si="59"/>
        <v>19</v>
      </c>
      <c r="Q277" s="17">
        <f ca="1">((MIN(OTCapPct*Model!$G$24,MAX(0,(($J277*(1+0.5*Acuity_M))/(Cap_Doc*$C277*(1-$G277)))-Model!$G$24)))*OTCost_Doc)+((MIN(OTCapPct*Model!$G$6,MAX(0,(($J277)/(Cap_Nurse*$C277*(1-$H277)))-Model!$G$6)))*OTCost_Nurse)+((MIN(OTCapPct*Model!$G$15,MAX(0,(($J277)/(Cap_Tech*$C277*(1-$I277)))-Model!$G$15)))*OTCost_Tech)+((MIN(OTCapPct*Model!$G$25,MAX(0,(($K277*(1+0.5*Acuity_E))/(Cap_Doc*$C277*(1-$G277)))-Model!$G$25)))*OTCost_Doc)+((MIN(OTCapPct*Model!$G$7,MAX(0,(($K277)/(Cap_Nurse*$C277*(1-$H277)))-Model!$G$7)))*OTCost_Nurse)+((MIN(OTCapPct*Model!$G$16,MAX(0,(($K277)/(Cap_Tech*$C277*(1-$I277)))-Model!$G$16)))*OTCost_Tech)+((MIN(OTCapPct*Model!$G$26,MAX(0,(($L277*(1+0.5*Acuity_N))/(Cap_Doc*$C277*(1-$G277)))-Model!$G$26)))*OTCost_Doc)+((MIN(OTCapPct*Model!$G$8,MAX(0,(($L277)/(Cap_Nurse*$C277*(1-$H277)))-Model!$G$8)))*OTCost_Nurse)+((MIN(OTCapPct*Model!$G$17,MAX(0,(($L277)/(Cap_Tech*$C277*(1-$I277)))-Model!$G$17)))*OTCost_Tech)</f>
        <v>39924.221996969944</v>
      </c>
    </row>
    <row r="278" spans="1:17" x14ac:dyDescent="0.25">
      <c r="A278" s="11">
        <v>274</v>
      </c>
      <c r="B278" s="11" t="str">
        <f t="shared" ca="1" si="48"/>
        <v>Complex</v>
      </c>
      <c r="C278" s="11">
        <f t="shared" ca="1" si="49"/>
        <v>0.9</v>
      </c>
      <c r="D278" s="11">
        <f t="shared" ca="1" si="50"/>
        <v>0</v>
      </c>
      <c r="E278" s="11">
        <f t="shared" ca="1" si="51"/>
        <v>3</v>
      </c>
      <c r="F278" s="36">
        <f t="shared" ca="1" si="52"/>
        <v>0.97904147300912192</v>
      </c>
      <c r="G278" s="11">
        <f t="shared" ca="1" si="53"/>
        <v>1.2952014246710695E-2</v>
      </c>
      <c r="H278" s="11">
        <f t="shared" ca="1" si="54"/>
        <v>0</v>
      </c>
      <c r="I278" s="11">
        <f t="shared" ca="1" si="55"/>
        <v>1.7398172794720959E-2</v>
      </c>
      <c r="J278" s="11">
        <f t="shared" ca="1" si="56"/>
        <v>69</v>
      </c>
      <c r="K278" s="11">
        <f t="shared" ca="1" si="57"/>
        <v>80</v>
      </c>
      <c r="L278" s="11">
        <f t="shared" ca="1" si="58"/>
        <v>66</v>
      </c>
      <c r="M278" s="11">
        <f ca="1">MAX(MAX(0,($J278*(1+0.5*Acuity_M))-(Model!$G$24*(1+OTCapPct)*(Cap_Doc*$C278*(1-$G278)))),MAX(0,($J278)-(Model!$G$6*(1+OTCapPct)*(Cap_Nurse*$C278*(1-$H278)))),MAX(0,($J278)-(Model!$G$15*(1+OTCapPct)*(Cap_Tech*$C278*(1-$I278)))),MAX(0,$J278-((BedsCurrent+BedsAdded)*ShiftHours*$F278/BedHr_M)),MAX(0,$J278*Acuity_M-(ImgBase+ImgExpOn*ImgExpAdd)),MAX(0,$J278-(LabBase+LabExpOn*LabExpAdd)))</f>
        <v>0</v>
      </c>
      <c r="N278" s="11">
        <f ca="1">MAX(MAX(0,($K278*(1+0.5*Acuity_E))-(Model!$G$25*(1+OTCapPct)*(Cap_Doc*$C278*(1-$G278)))),MAX(0,($K278)-(Model!$G$7*(1+OTCapPct)*(Cap_Nurse*$C278*(1-$H278)))),MAX(0,($K278)-(Model!$G$16*(1+OTCapPct)*(Cap_Tech*$C278*(1-$I278)))),MAX(0,$K278-((BedsCurrent+BedsAdded)*ShiftHours*$F278/BedHr_E)),MAX(0,$K278*Acuity_E-(ImgBase+ImgExpOn*ImgExpAdd)),MAX(0,$K278-(LabBase+LabExpOn*LabExpAdd)))</f>
        <v>0</v>
      </c>
      <c r="O278" s="11">
        <f ca="1">MAX(MAX(0,($L278*(1+0.5*Acuity_N))-(Model!$G$26*(1+OTCapPct)*(Cap_Doc*$C278*(1-$G278)))),MAX(0,($L278)-(Model!$G$8*(1+OTCapPct)*(Cap_Nurse*$C278*(1-$H278)))),MAX(0,($L278)-(Model!$G$17*(1+OTCapPct)*(Cap_Tech*$C278*(1-$I278)))),MAX(0,$L278-((BedsCurrent+BedsAdded)*ShiftHours*$F278/BedHr_N)),MAX(0,$L278*Acuity_N-(ImgBase+ImgExpOn*ImgExpAdd)),MAX(0,$L278-(LabBase+LabExpOn*LabExpAdd)))</f>
        <v>0</v>
      </c>
      <c r="P278" s="11">
        <f t="shared" ca="1" si="59"/>
        <v>0</v>
      </c>
      <c r="Q278" s="17">
        <f ca="1">((MIN(OTCapPct*Model!$G$24,MAX(0,(($J278*(1+0.5*Acuity_M))/(Cap_Doc*$C278*(1-$G278)))-Model!$G$24)))*OTCost_Doc)+((MIN(OTCapPct*Model!$G$6,MAX(0,(($J278)/(Cap_Nurse*$C278*(1-$H278)))-Model!$G$6)))*OTCost_Nurse)+((MIN(OTCapPct*Model!$G$15,MAX(0,(($J278)/(Cap_Tech*$C278*(1-$I278)))-Model!$G$15)))*OTCost_Tech)+((MIN(OTCapPct*Model!$G$25,MAX(0,(($K278*(1+0.5*Acuity_E))/(Cap_Doc*$C278*(1-$G278)))-Model!$G$25)))*OTCost_Doc)+((MIN(OTCapPct*Model!$G$7,MAX(0,(($K278)/(Cap_Nurse*$C278*(1-$H278)))-Model!$G$7)))*OTCost_Nurse)+((MIN(OTCapPct*Model!$G$16,MAX(0,(($K278)/(Cap_Tech*$C278*(1-$I278)))-Model!$G$16)))*OTCost_Tech)+((MIN(OTCapPct*Model!$G$26,MAX(0,(($L278*(1+0.5*Acuity_N))/(Cap_Doc*$C278*(1-$G278)))-Model!$G$26)))*OTCost_Doc)+((MIN(OTCapPct*Model!$G$8,MAX(0,(($L278)/(Cap_Nurse*$C278*(1-$H278)))-Model!$G$8)))*OTCost_Nurse)+((MIN(OTCapPct*Model!$G$17,MAX(0,(($L278)/(Cap_Tech*$C278*(1-$I278)))-Model!$G$17)))*OTCost_Tech)</f>
        <v>10802.186836839452</v>
      </c>
    </row>
    <row r="279" spans="1:17" x14ac:dyDescent="0.25">
      <c r="A279" s="11">
        <v>275</v>
      </c>
      <c r="B279" s="11" t="str">
        <f t="shared" ca="1" si="48"/>
        <v>Normal</v>
      </c>
      <c r="C279" s="11">
        <f t="shared" ca="1" si="49"/>
        <v>1</v>
      </c>
      <c r="D279" s="11">
        <f t="shared" ca="1" si="50"/>
        <v>0</v>
      </c>
      <c r="E279" s="11">
        <f t="shared" ca="1" si="51"/>
        <v>1</v>
      </c>
      <c r="F279" s="36">
        <f t="shared" ca="1" si="52"/>
        <v>0.81389872008242226</v>
      </c>
      <c r="G279" s="11">
        <f t="shared" ca="1" si="53"/>
        <v>4.6514081303294402E-2</v>
      </c>
      <c r="H279" s="11">
        <f t="shared" ca="1" si="54"/>
        <v>5.4004349059803752E-2</v>
      </c>
      <c r="I279" s="11">
        <f t="shared" ca="1" si="55"/>
        <v>8.5774071157955073E-3</v>
      </c>
      <c r="J279" s="11">
        <f t="shared" ca="1" si="56"/>
        <v>97</v>
      </c>
      <c r="K279" s="11">
        <f t="shared" ca="1" si="57"/>
        <v>120</v>
      </c>
      <c r="L279" s="11">
        <f t="shared" ca="1" si="58"/>
        <v>64</v>
      </c>
      <c r="M279" s="11">
        <f ca="1">MAX(MAX(0,($J279*(1+0.5*Acuity_M))-(Model!$G$24*(1+OTCapPct)*(Cap_Doc*$C279*(1-$G279)))),MAX(0,($J279)-(Model!$G$6*(1+OTCapPct)*(Cap_Nurse*$C279*(1-$H279)))),MAX(0,($J279)-(Model!$G$15*(1+OTCapPct)*(Cap_Tech*$C279*(1-$I279)))),MAX(0,$J279-((BedsCurrent+BedsAdded)*ShiftHours*$F279/BedHr_M)),MAX(0,$J279*Acuity_M-(ImgBase+ImgExpOn*ImgExpAdd)),MAX(0,$J279-(LabBase+LabExpOn*LabExpAdd)))</f>
        <v>2</v>
      </c>
      <c r="N279" s="11">
        <f ca="1">MAX(MAX(0,($K279*(1+0.5*Acuity_E))-(Model!$G$25*(1+OTCapPct)*(Cap_Doc*$C279*(1-$G279)))),MAX(0,($K279)-(Model!$G$7*(1+OTCapPct)*(Cap_Nurse*$C279*(1-$H279)))),MAX(0,($K279)-(Model!$G$16*(1+OTCapPct)*(Cap_Tech*$C279*(1-$I279)))),MAX(0,$K279-((BedsCurrent+BedsAdded)*ShiftHours*$F279/BedHr_E)),MAX(0,$K279*Acuity_E-(ImgBase+ImgExpOn*ImgExpAdd)),MAX(0,$K279-(LabBase+LabExpOn*LabExpAdd)))</f>
        <v>31.447819255032456</v>
      </c>
      <c r="O279" s="11">
        <f ca="1">MAX(MAX(0,($L279*(1+0.5*Acuity_N))-(Model!$G$26*(1+OTCapPct)*(Cap_Doc*$C279*(1-$G279)))),MAX(0,($L279)-(Model!$G$8*(1+OTCapPct)*(Cap_Nurse*$C279*(1-$H279)))),MAX(0,($L279)-(Model!$G$17*(1+OTCapPct)*(Cap_Tech*$C279*(1-$I279)))),MAX(0,$L279-((BedsCurrent+BedsAdded)*ShiftHours*$F279/BedHr_N)),MAX(0,$L279*Acuity_N-(ImgBase+ImgExpOn*ImgExpAdd)),MAX(0,$L279-(LabBase+LabExpOn*LabExpAdd)))</f>
        <v>0</v>
      </c>
      <c r="P279" s="11">
        <f t="shared" ca="1" si="59"/>
        <v>33.447819255032456</v>
      </c>
      <c r="Q279" s="17">
        <f ca="1">((MIN(OTCapPct*Model!$G$24,MAX(0,(($J279*(1+0.5*Acuity_M))/(Cap_Doc*$C279*(1-$G279)))-Model!$G$24)))*OTCost_Doc)+((MIN(OTCapPct*Model!$G$6,MAX(0,(($J279)/(Cap_Nurse*$C279*(1-$H279)))-Model!$G$6)))*OTCost_Nurse)+((MIN(OTCapPct*Model!$G$15,MAX(0,(($J279)/(Cap_Tech*$C279*(1-$I279)))-Model!$G$15)))*OTCost_Tech)+((MIN(OTCapPct*Model!$G$25,MAX(0,(($K279*(1+0.5*Acuity_E))/(Cap_Doc*$C279*(1-$G279)))-Model!$G$25)))*OTCost_Doc)+((MIN(OTCapPct*Model!$G$7,MAX(0,(($K279)/(Cap_Nurse*$C279*(1-$H279)))-Model!$G$7)))*OTCost_Nurse)+((MIN(OTCapPct*Model!$G$16,MAX(0,(($K279)/(Cap_Tech*$C279*(1-$I279)))-Model!$G$16)))*OTCost_Tech)+((MIN(OTCapPct*Model!$G$26,MAX(0,(($L279*(1+0.5*Acuity_N))/(Cap_Doc*$C279*(1-$G279)))-Model!$G$26)))*OTCost_Doc)+((MIN(OTCapPct*Model!$G$8,MAX(0,(($L279)/(Cap_Nurse*$C279*(1-$H279)))-Model!$G$8)))*OTCost_Nurse)+((MIN(OTCapPct*Model!$G$17,MAX(0,(($L279)/(Cap_Tech*$C279*(1-$I279)))-Model!$G$17)))*OTCost_Tech)</f>
        <v>49104.3580639227</v>
      </c>
    </row>
    <row r="280" spans="1:17" x14ac:dyDescent="0.25">
      <c r="A280" s="11">
        <v>276</v>
      </c>
      <c r="B280" s="11" t="str">
        <f t="shared" ca="1" si="48"/>
        <v>Normal</v>
      </c>
      <c r="C280" s="11">
        <f t="shared" ca="1" si="49"/>
        <v>1</v>
      </c>
      <c r="D280" s="11">
        <f t="shared" ca="1" si="50"/>
        <v>0</v>
      </c>
      <c r="E280" s="11">
        <f t="shared" ca="1" si="51"/>
        <v>3</v>
      </c>
      <c r="F280" s="36">
        <f t="shared" ca="1" si="52"/>
        <v>0.81597205647706705</v>
      </c>
      <c r="G280" s="11">
        <f t="shared" ca="1" si="53"/>
        <v>5.3561290591962366E-2</v>
      </c>
      <c r="H280" s="11">
        <f t="shared" ca="1" si="54"/>
        <v>0.11081177265521458</v>
      </c>
      <c r="I280" s="11">
        <f t="shared" ca="1" si="55"/>
        <v>4.2684122001660205E-2</v>
      </c>
      <c r="J280" s="11">
        <f t="shared" ca="1" si="56"/>
        <v>67</v>
      </c>
      <c r="K280" s="11">
        <f t="shared" ca="1" si="57"/>
        <v>138</v>
      </c>
      <c r="L280" s="11">
        <f t="shared" ca="1" si="58"/>
        <v>57</v>
      </c>
      <c r="M280" s="11">
        <f ca="1">MAX(MAX(0,($J280*(1+0.5*Acuity_M))-(Model!$G$24*(1+OTCapPct)*(Cap_Doc*$C280*(1-$G280)))),MAX(0,($J280)-(Model!$G$6*(1+OTCapPct)*(Cap_Nurse*$C280*(1-$H280)))),MAX(0,($J280)-(Model!$G$15*(1+OTCapPct)*(Cap_Tech*$C280*(1-$I280)))),MAX(0,$J280-((BedsCurrent+BedsAdded)*ShiftHours*$F280/BedHr_M)),MAX(0,$J280*Acuity_M-(ImgBase+ImgExpOn*ImgExpAdd)),MAX(0,$J280-(LabBase+LabExpOn*LabExpAdd)))</f>
        <v>0</v>
      </c>
      <c r="N280" s="11">
        <f ca="1">MAX(MAX(0,($K280*(1+0.5*Acuity_E))-(Model!$G$25*(1+OTCapPct)*(Cap_Doc*$C280*(1-$G280)))),MAX(0,($K280)-(Model!$G$7*(1+OTCapPct)*(Cap_Nurse*$C280*(1-$H280)))),MAX(0,($K280)-(Model!$G$16*(1+OTCapPct)*(Cap_Tech*$C280*(1-$I280)))),MAX(0,$K280-((BedsCurrent+BedsAdded)*ShiftHours*$F280/BedHr_E)),MAX(0,$K280*Acuity_E-(ImgBase+ImgExpOn*ImgExpAdd)),MAX(0,$K280-(LabBase+LabExpOn*LabExpAdd)))</f>
        <v>49.222240255295105</v>
      </c>
      <c r="O280" s="11">
        <f ca="1">MAX(MAX(0,($L280*(1+0.5*Acuity_N))-(Model!$G$26*(1+OTCapPct)*(Cap_Doc*$C280*(1-$G280)))),MAX(0,($L280)-(Model!$G$8*(1+OTCapPct)*(Cap_Nurse*$C280*(1-$H280)))),MAX(0,($L280)-(Model!$G$17*(1+OTCapPct)*(Cap_Tech*$C280*(1-$I280)))),MAX(0,$L280-((BedsCurrent+BedsAdded)*ShiftHours*$F280/BedHr_N)),MAX(0,$L280*Acuity_N-(ImgBase+ImgExpOn*ImgExpAdd)),MAX(0,$L280-(LabBase+LabExpOn*LabExpAdd)))</f>
        <v>0</v>
      </c>
      <c r="P280" s="11">
        <f t="shared" ca="1" si="59"/>
        <v>49.222240255295105</v>
      </c>
      <c r="Q280" s="17">
        <f ca="1">((MIN(OTCapPct*Model!$G$24,MAX(0,(($J280*(1+0.5*Acuity_M))/(Cap_Doc*$C280*(1-$G280)))-Model!$G$24)))*OTCost_Doc)+((MIN(OTCapPct*Model!$G$6,MAX(0,(($J280)/(Cap_Nurse*$C280*(1-$H280)))-Model!$G$6)))*OTCost_Nurse)+((MIN(OTCapPct*Model!$G$15,MAX(0,(($J280)/(Cap_Tech*$C280*(1-$I280)))-Model!$G$15)))*OTCost_Tech)+((MIN(OTCapPct*Model!$G$25,MAX(0,(($K280*(1+0.5*Acuity_E))/(Cap_Doc*$C280*(1-$G280)))-Model!$G$25)))*OTCost_Doc)+((MIN(OTCapPct*Model!$G$7,MAX(0,(($K280)/(Cap_Nurse*$C280*(1-$H280)))-Model!$G$7)))*OTCost_Nurse)+((MIN(OTCapPct*Model!$G$16,MAX(0,(($K280)/(Cap_Tech*$C280*(1-$I280)))-Model!$G$16)))*OTCost_Tech)+((MIN(OTCapPct*Model!$G$26,MAX(0,(($L280*(1+0.5*Acuity_N))/(Cap_Doc*$C280*(1-$G280)))-Model!$G$26)))*OTCost_Doc)+((MIN(OTCapPct*Model!$G$8,MAX(0,(($L280)/(Cap_Nurse*$C280*(1-$H280)))-Model!$G$8)))*OTCost_Nurse)+((MIN(OTCapPct*Model!$G$17,MAX(0,(($L280)/(Cap_Tech*$C280*(1-$I280)))-Model!$G$17)))*OTCost_Tech)</f>
        <v>43900.507701899718</v>
      </c>
    </row>
    <row r="281" spans="1:17" x14ac:dyDescent="0.25">
      <c r="A281" s="11">
        <v>277</v>
      </c>
      <c r="B281" s="11" t="str">
        <f t="shared" ca="1" si="48"/>
        <v>Complex</v>
      </c>
      <c r="C281" s="11">
        <f t="shared" ca="1" si="49"/>
        <v>0.9</v>
      </c>
      <c r="D281" s="11">
        <f t="shared" ca="1" si="50"/>
        <v>0</v>
      </c>
      <c r="E281" s="11">
        <f t="shared" ca="1" si="51"/>
        <v>3</v>
      </c>
      <c r="F281" s="36">
        <f t="shared" ca="1" si="52"/>
        <v>1.0065191075563091</v>
      </c>
      <c r="G281" s="11">
        <f t="shared" ca="1" si="53"/>
        <v>1.189960671732217E-2</v>
      </c>
      <c r="H281" s="11">
        <f t="shared" ca="1" si="54"/>
        <v>9.3202057076630221E-2</v>
      </c>
      <c r="I281" s="11">
        <f t="shared" ca="1" si="55"/>
        <v>5.6829438718818771E-2</v>
      </c>
      <c r="J281" s="11">
        <f t="shared" ca="1" si="56"/>
        <v>81</v>
      </c>
      <c r="K281" s="11">
        <f t="shared" ca="1" si="57"/>
        <v>106</v>
      </c>
      <c r="L281" s="11">
        <f t="shared" ca="1" si="58"/>
        <v>59</v>
      </c>
      <c r="M281" s="11">
        <f ca="1">MAX(MAX(0,($J281*(1+0.5*Acuity_M))-(Model!$G$24*(1+OTCapPct)*(Cap_Doc*$C281*(1-$G281)))),MAX(0,($J281)-(Model!$G$6*(1+OTCapPct)*(Cap_Nurse*$C281*(1-$H281)))),MAX(0,($J281)-(Model!$G$15*(1+OTCapPct)*(Cap_Tech*$C281*(1-$I281)))),MAX(0,$J281-((BedsCurrent+BedsAdded)*ShiftHours*$F281/BedHr_M)),MAX(0,$J281*Acuity_M-(ImgBase+ImgExpOn*ImgExpAdd)),MAX(0,$J281-(LabBase+LabExpOn*LabExpAdd)))</f>
        <v>0</v>
      </c>
      <c r="N281" s="11">
        <f ca="1">MAX(MAX(0,($K281*(1+0.5*Acuity_E))-(Model!$G$25*(1+OTCapPct)*(Cap_Doc*$C281*(1-$G281)))),MAX(0,($K281)-(Model!$G$7*(1+OTCapPct)*(Cap_Nurse*$C281*(1-$H281)))),MAX(0,($K281)-(Model!$G$16*(1+OTCapPct)*(Cap_Tech*$C281*(1-$I281)))),MAX(0,$K281-((BedsCurrent+BedsAdded)*ShiftHours*$F281/BedHr_E)),MAX(0,$K281*Acuity_E-(ImgBase+ImgExpOn*ImgExpAdd)),MAX(0,$K281-(LabBase+LabExpOn*LabExpAdd)))</f>
        <v>11</v>
      </c>
      <c r="O281" s="11">
        <f ca="1">MAX(MAX(0,($L281*(1+0.5*Acuity_N))-(Model!$G$26*(1+OTCapPct)*(Cap_Doc*$C281*(1-$G281)))),MAX(0,($L281)-(Model!$G$8*(1+OTCapPct)*(Cap_Nurse*$C281*(1-$H281)))),MAX(0,($L281)-(Model!$G$17*(1+OTCapPct)*(Cap_Tech*$C281*(1-$I281)))),MAX(0,$L281-((BedsCurrent+BedsAdded)*ShiftHours*$F281/BedHr_N)),MAX(0,$L281*Acuity_N-(ImgBase+ImgExpOn*ImgExpAdd)),MAX(0,$L281-(LabBase+LabExpOn*LabExpAdd)))</f>
        <v>0</v>
      </c>
      <c r="P281" s="11">
        <f t="shared" ca="1" si="59"/>
        <v>11</v>
      </c>
      <c r="Q281" s="17">
        <f ca="1">((MIN(OTCapPct*Model!$G$24,MAX(0,(($J281*(1+0.5*Acuity_M))/(Cap_Doc*$C281*(1-$G281)))-Model!$G$24)))*OTCost_Doc)+((MIN(OTCapPct*Model!$G$6,MAX(0,(($J281)/(Cap_Nurse*$C281*(1-$H281)))-Model!$G$6)))*OTCost_Nurse)+((MIN(OTCapPct*Model!$G$15,MAX(0,(($J281)/(Cap_Tech*$C281*(1-$I281)))-Model!$G$15)))*OTCost_Tech)+((MIN(OTCapPct*Model!$G$25,MAX(0,(($K281*(1+0.5*Acuity_E))/(Cap_Doc*$C281*(1-$G281)))-Model!$G$25)))*OTCost_Doc)+((MIN(OTCapPct*Model!$G$7,MAX(0,(($K281)/(Cap_Nurse*$C281*(1-$H281)))-Model!$G$7)))*OTCost_Nurse)+((MIN(OTCapPct*Model!$G$16,MAX(0,(($K281)/(Cap_Tech*$C281*(1-$I281)))-Model!$G$16)))*OTCost_Tech)+((MIN(OTCapPct*Model!$G$26,MAX(0,(($L281*(1+0.5*Acuity_N))/(Cap_Doc*$C281*(1-$G281)))-Model!$G$26)))*OTCost_Doc)+((MIN(OTCapPct*Model!$G$8,MAX(0,(($L281)/(Cap_Nurse*$C281*(1-$H281)))-Model!$G$8)))*OTCost_Nurse)+((MIN(OTCapPct*Model!$G$17,MAX(0,(($L281)/(Cap_Tech*$C281*(1-$I281)))-Model!$G$17)))*OTCost_Tech)</f>
        <v>34451.747998750834</v>
      </c>
    </row>
    <row r="282" spans="1:17" x14ac:dyDescent="0.25">
      <c r="A282" s="11">
        <v>278</v>
      </c>
      <c r="B282" s="11" t="str">
        <f t="shared" ca="1" si="48"/>
        <v>Normal</v>
      </c>
      <c r="C282" s="11">
        <f t="shared" ca="1" si="49"/>
        <v>1</v>
      </c>
      <c r="D282" s="11">
        <f t="shared" ca="1" si="50"/>
        <v>0</v>
      </c>
      <c r="E282" s="11">
        <f t="shared" ca="1" si="51"/>
        <v>2</v>
      </c>
      <c r="F282" s="36">
        <f t="shared" ca="1" si="52"/>
        <v>0.87748557741685274</v>
      </c>
      <c r="G282" s="11">
        <f t="shared" ca="1" si="53"/>
        <v>6.8911092941994517E-2</v>
      </c>
      <c r="H282" s="11">
        <f t="shared" ca="1" si="54"/>
        <v>0.13681130673456707</v>
      </c>
      <c r="I282" s="11">
        <f t="shared" ca="1" si="55"/>
        <v>5.1506688981720457E-2</v>
      </c>
      <c r="J282" s="11">
        <f t="shared" ca="1" si="56"/>
        <v>94</v>
      </c>
      <c r="K282" s="11">
        <f t="shared" ca="1" si="57"/>
        <v>133</v>
      </c>
      <c r="L282" s="11">
        <f t="shared" ca="1" si="58"/>
        <v>82</v>
      </c>
      <c r="M282" s="11">
        <f ca="1">MAX(MAX(0,($J282*(1+0.5*Acuity_M))-(Model!$G$24*(1+OTCapPct)*(Cap_Doc*$C282*(1-$G282)))),MAX(0,($J282)-(Model!$G$6*(1+OTCapPct)*(Cap_Nurse*$C282*(1-$H282)))),MAX(0,($J282)-(Model!$G$15*(1+OTCapPct)*(Cap_Tech*$C282*(1-$I282)))),MAX(0,$J282-((BedsCurrent+BedsAdded)*ShiftHours*$F282/BedHr_M)),MAX(0,$J282*Acuity_M-(ImgBase+ImgExpOn*ImgExpAdd)),MAX(0,$J282-(LabBase+LabExpOn*LabExpAdd)))</f>
        <v>3.3651872071295372</v>
      </c>
      <c r="N282" s="11">
        <f ca="1">MAX(MAX(0,($K282*(1+0.5*Acuity_E))-(Model!$G$25*(1+OTCapPct)*(Cap_Doc*$C282*(1-$G282)))),MAX(0,($K282)-(Model!$G$7*(1+OTCapPct)*(Cap_Nurse*$C282*(1-$H282)))),MAX(0,($K282)-(Model!$G$16*(1+OTCapPct)*(Cap_Tech*$C282*(1-$I282)))),MAX(0,$K282-((BedsCurrent+BedsAdded)*ShiftHours*$F282/BedHr_E)),MAX(0,$K282*Acuity_E-(ImgBase+ImgExpOn*ImgExpAdd)),MAX(0,$K282-(LabBase+LabExpOn*LabExpAdd)))</f>
        <v>38</v>
      </c>
      <c r="O282" s="11">
        <f ca="1">MAX(MAX(0,($L282*(1+0.5*Acuity_N))-(Model!$G$26*(1+OTCapPct)*(Cap_Doc*$C282*(1-$G282)))),MAX(0,($L282)-(Model!$G$8*(1+OTCapPct)*(Cap_Nurse*$C282*(1-$H282)))),MAX(0,($L282)-(Model!$G$17*(1+OTCapPct)*(Cap_Tech*$C282*(1-$I282)))),MAX(0,$L282-((BedsCurrent+BedsAdded)*ShiftHours*$F282/BedHr_N)),MAX(0,$L282*Acuity_N-(ImgBase+ImgExpOn*ImgExpAdd)),MAX(0,$L282-(LabBase+LabExpOn*LabExpAdd)))</f>
        <v>10.50199836477951</v>
      </c>
      <c r="P282" s="11">
        <f t="shared" ca="1" si="59"/>
        <v>51.867185571909047</v>
      </c>
      <c r="Q282" s="17">
        <f ca="1">((MIN(OTCapPct*Model!$G$24,MAX(0,(($J282*(1+0.5*Acuity_M))/(Cap_Doc*$C282*(1-$G282)))-Model!$G$24)))*OTCost_Doc)+((MIN(OTCapPct*Model!$G$6,MAX(0,(($J282)/(Cap_Nurse*$C282*(1-$H282)))-Model!$G$6)))*OTCost_Nurse)+((MIN(OTCapPct*Model!$G$15,MAX(0,(($J282)/(Cap_Tech*$C282*(1-$I282)))-Model!$G$15)))*OTCost_Tech)+((MIN(OTCapPct*Model!$G$25,MAX(0,(($K282*(1+0.5*Acuity_E))/(Cap_Doc*$C282*(1-$G282)))-Model!$G$25)))*OTCost_Doc)+((MIN(OTCapPct*Model!$G$7,MAX(0,(($K282)/(Cap_Nurse*$C282*(1-$H282)))-Model!$G$7)))*OTCost_Nurse)+((MIN(OTCapPct*Model!$G$16,MAX(0,(($K282)/(Cap_Tech*$C282*(1-$I282)))-Model!$G$16)))*OTCost_Tech)+((MIN(OTCapPct*Model!$G$26,MAX(0,(($L282*(1+0.5*Acuity_N))/(Cap_Doc*$C282*(1-$G282)))-Model!$G$26)))*OTCost_Doc)+((MIN(OTCapPct*Model!$G$8,MAX(0,(($L282)/(Cap_Nurse*$C282*(1-$H282)))-Model!$G$8)))*OTCost_Nurse)+((MIN(OTCapPct*Model!$G$17,MAX(0,(($L282)/(Cap_Tech*$C282*(1-$I282)))-Model!$G$17)))*OTCost_Tech)</f>
        <v>95934.576680619459</v>
      </c>
    </row>
    <row r="283" spans="1:17" x14ac:dyDescent="0.25">
      <c r="A283" s="11">
        <v>279</v>
      </c>
      <c r="B283" s="11" t="str">
        <f t="shared" ca="1" si="48"/>
        <v>Normal</v>
      </c>
      <c r="C283" s="11">
        <f t="shared" ca="1" si="49"/>
        <v>1</v>
      </c>
      <c r="D283" s="11">
        <f t="shared" ca="1" si="50"/>
        <v>0</v>
      </c>
      <c r="E283" s="11">
        <f t="shared" ca="1" si="51"/>
        <v>1</v>
      </c>
      <c r="F283" s="36">
        <f t="shared" ca="1" si="52"/>
        <v>1.1859902266562803</v>
      </c>
      <c r="G283" s="11">
        <f t="shared" ca="1" si="53"/>
        <v>6.2689437806445911E-2</v>
      </c>
      <c r="H283" s="11">
        <f t="shared" ca="1" si="54"/>
        <v>1.6360077213553613E-2</v>
      </c>
      <c r="I283" s="11">
        <f t="shared" ca="1" si="55"/>
        <v>0.13387800911662345</v>
      </c>
      <c r="J283" s="11">
        <f t="shared" ca="1" si="56"/>
        <v>72</v>
      </c>
      <c r="K283" s="11">
        <f t="shared" ca="1" si="57"/>
        <v>113</v>
      </c>
      <c r="L283" s="11">
        <f t="shared" ca="1" si="58"/>
        <v>66</v>
      </c>
      <c r="M283" s="11">
        <f ca="1">MAX(MAX(0,($J283*(1+0.5*Acuity_M))-(Model!$G$24*(1+OTCapPct)*(Cap_Doc*$C283*(1-$G283)))),MAX(0,($J283)-(Model!$G$6*(1+OTCapPct)*(Cap_Nurse*$C283*(1-$H283)))),MAX(0,($J283)-(Model!$G$15*(1+OTCapPct)*(Cap_Tech*$C283*(1-$I283)))),MAX(0,$J283-((BedsCurrent+BedsAdded)*ShiftHours*$F283/BedHr_M)),MAX(0,$J283*Acuity_M-(ImgBase+ImgExpOn*ImgExpAdd)),MAX(0,$J283-(LabBase+LabExpOn*LabExpAdd)))</f>
        <v>0</v>
      </c>
      <c r="N283" s="11">
        <f ca="1">MAX(MAX(0,($K283*(1+0.5*Acuity_E))-(Model!$G$25*(1+OTCapPct)*(Cap_Doc*$C283*(1-$G283)))),MAX(0,($K283)-(Model!$G$7*(1+OTCapPct)*(Cap_Nurse*$C283*(1-$H283)))),MAX(0,($K283)-(Model!$G$16*(1+OTCapPct)*(Cap_Tech*$C283*(1-$I283)))),MAX(0,$K283-((BedsCurrent+BedsAdded)*ShiftHours*$F283/BedHr_E)),MAX(0,$K283*Acuity_E-(ImgBase+ImgExpOn*ImgExpAdd)),MAX(0,$K283-(LabBase+LabExpOn*LabExpAdd)))</f>
        <v>18</v>
      </c>
      <c r="O283" s="11">
        <f ca="1">MAX(MAX(0,($L283*(1+0.5*Acuity_N))-(Model!$G$26*(1+OTCapPct)*(Cap_Doc*$C283*(1-$G283)))),MAX(0,($L283)-(Model!$G$8*(1+OTCapPct)*(Cap_Nurse*$C283*(1-$H283)))),MAX(0,($L283)-(Model!$G$17*(1+OTCapPct)*(Cap_Tech*$C283*(1-$I283)))),MAX(0,$L283-((BedsCurrent+BedsAdded)*ShiftHours*$F283/BedHr_N)),MAX(0,$L283*Acuity_N-(ImgBase+ImgExpOn*ImgExpAdd)),MAX(0,$L283-(LabBase+LabExpOn*LabExpAdd)))</f>
        <v>0</v>
      </c>
      <c r="P283" s="11">
        <f t="shared" ca="1" si="59"/>
        <v>18</v>
      </c>
      <c r="Q283" s="17">
        <f ca="1">((MIN(OTCapPct*Model!$G$24,MAX(0,(($J283*(1+0.5*Acuity_M))/(Cap_Doc*$C283*(1-$G283)))-Model!$G$24)))*OTCost_Doc)+((MIN(OTCapPct*Model!$G$6,MAX(0,(($J283)/(Cap_Nurse*$C283*(1-$H283)))-Model!$G$6)))*OTCost_Nurse)+((MIN(OTCapPct*Model!$G$15,MAX(0,(($J283)/(Cap_Tech*$C283*(1-$I283)))-Model!$G$15)))*OTCost_Tech)+((MIN(OTCapPct*Model!$G$25,MAX(0,(($K283*(1+0.5*Acuity_E))/(Cap_Doc*$C283*(1-$G283)))-Model!$G$25)))*OTCost_Doc)+((MIN(OTCapPct*Model!$G$7,MAX(0,(($K283)/(Cap_Nurse*$C283*(1-$H283)))-Model!$G$7)))*OTCost_Nurse)+((MIN(OTCapPct*Model!$G$16,MAX(0,(($K283)/(Cap_Tech*$C283*(1-$I283)))-Model!$G$16)))*OTCost_Tech)+((MIN(OTCapPct*Model!$G$26,MAX(0,(($L283*(1+0.5*Acuity_N))/(Cap_Doc*$C283*(1-$G283)))-Model!$G$26)))*OTCost_Doc)+((MIN(OTCapPct*Model!$G$8,MAX(0,(($L283)/(Cap_Nurse*$C283*(1-$H283)))-Model!$G$8)))*OTCost_Nurse)+((MIN(OTCapPct*Model!$G$17,MAX(0,(($L283)/(Cap_Tech*$C283*(1-$I283)))-Model!$G$17)))*OTCost_Tech)</f>
        <v>17053.535413011508</v>
      </c>
    </row>
    <row r="284" spans="1:17" x14ac:dyDescent="0.25">
      <c r="A284" s="11">
        <v>280</v>
      </c>
      <c r="B284" s="11" t="str">
        <f t="shared" ca="1" si="48"/>
        <v>Complex</v>
      </c>
      <c r="C284" s="11">
        <f t="shared" ca="1" si="49"/>
        <v>0.9</v>
      </c>
      <c r="D284" s="11">
        <f t="shared" ca="1" si="50"/>
        <v>0</v>
      </c>
      <c r="E284" s="11">
        <f t="shared" ca="1" si="51"/>
        <v>3</v>
      </c>
      <c r="F284" s="36">
        <f t="shared" ca="1" si="52"/>
        <v>0.80376023500543126</v>
      </c>
      <c r="G284" s="11">
        <f t="shared" ca="1" si="53"/>
        <v>0.15448386690505847</v>
      </c>
      <c r="H284" s="11">
        <f t="shared" ca="1" si="54"/>
        <v>4.1366760914979234E-2</v>
      </c>
      <c r="I284" s="11">
        <f t="shared" ca="1" si="55"/>
        <v>6.4505589515193584E-2</v>
      </c>
      <c r="J284" s="11">
        <f t="shared" ca="1" si="56"/>
        <v>98</v>
      </c>
      <c r="K284" s="11">
        <f t="shared" ca="1" si="57"/>
        <v>99</v>
      </c>
      <c r="L284" s="11">
        <f t="shared" ca="1" si="58"/>
        <v>77</v>
      </c>
      <c r="M284" s="11">
        <f ca="1">MAX(MAX(0,($J284*(1+0.5*Acuity_M))-(Model!$G$24*(1+OTCapPct)*(Cap_Doc*$C284*(1-$G284)))),MAX(0,($J284)-(Model!$G$6*(1+OTCapPct)*(Cap_Nurse*$C284*(1-$H284)))),MAX(0,($J284)-(Model!$G$15*(1+OTCapPct)*(Cap_Tech*$C284*(1-$I284)))),MAX(0,$J284-((BedsCurrent+BedsAdded)*ShiftHours*$F284/BedHr_M)),MAX(0,$J284*Acuity_M-(ImgBase+ImgExpOn*ImgExpAdd)),MAX(0,$J284-(LabBase+LabExpOn*LabExpAdd)))</f>
        <v>23.171491524137181</v>
      </c>
      <c r="N284" s="11">
        <f ca="1">MAX(MAX(0,($K284*(1+0.5*Acuity_E))-(Model!$G$25*(1+OTCapPct)*(Cap_Doc*$C284*(1-$G284)))),MAX(0,($K284)-(Model!$G$7*(1+OTCapPct)*(Cap_Nurse*$C284*(1-$H284)))),MAX(0,($K284)-(Model!$G$16*(1+OTCapPct)*(Cap_Tech*$C284*(1-$I284)))),MAX(0,$K284-((BedsCurrent+BedsAdded)*ShiftHours*$F284/BedHr_E)),MAX(0,$K284*Acuity_E-(ImgBase+ImgExpOn*ImgExpAdd)),MAX(0,$K284-(LabBase+LabExpOn*LabExpAdd)))</f>
        <v>11.550886431409083</v>
      </c>
      <c r="O284" s="11">
        <f ca="1">MAX(MAX(0,($L284*(1+0.5*Acuity_N))-(Model!$G$26*(1+OTCapPct)*(Cap_Doc*$C284*(1-$G284)))),MAX(0,($L284)-(Model!$G$8*(1+OTCapPct)*(Cap_Nurse*$C284*(1-$H284)))),MAX(0,($L284)-(Model!$G$17*(1+OTCapPct)*(Cap_Tech*$C284*(1-$I284)))),MAX(0,$L284-((BedsCurrent+BedsAdded)*ShiftHours*$F284/BedHr_N)),MAX(0,$L284*Acuity_N-(ImgBase+ImgExpOn*ImgExpAdd)),MAX(0,$L284-(LabBase+LabExpOn*LabExpAdd)))</f>
        <v>20.063193219309724</v>
      </c>
      <c r="P284" s="11">
        <f t="shared" ca="1" si="59"/>
        <v>54.785571174855988</v>
      </c>
      <c r="Q284" s="17">
        <f ca="1">((MIN(OTCapPct*Model!$G$24,MAX(0,(($J284*(1+0.5*Acuity_M))/(Cap_Doc*$C284*(1-$G284)))-Model!$G$24)))*OTCost_Doc)+((MIN(OTCapPct*Model!$G$6,MAX(0,(($J284)/(Cap_Nurse*$C284*(1-$H284)))-Model!$G$6)))*OTCost_Nurse)+((MIN(OTCapPct*Model!$G$15,MAX(0,(($J284)/(Cap_Tech*$C284*(1-$I284)))-Model!$G$15)))*OTCost_Tech)+((MIN(OTCapPct*Model!$G$25,MAX(0,(($K284*(1+0.5*Acuity_E))/(Cap_Doc*$C284*(1-$G284)))-Model!$G$25)))*OTCost_Doc)+((MIN(OTCapPct*Model!$G$7,MAX(0,(($K284)/(Cap_Nurse*$C284*(1-$H284)))-Model!$G$7)))*OTCost_Nurse)+((MIN(OTCapPct*Model!$G$16,MAX(0,(($K284)/(Cap_Tech*$C284*(1-$I284)))-Model!$G$16)))*OTCost_Tech)+((MIN(OTCapPct*Model!$G$26,MAX(0,(($L284*(1+0.5*Acuity_N))/(Cap_Doc*$C284*(1-$G284)))-Model!$G$26)))*OTCost_Doc)+((MIN(OTCapPct*Model!$G$8,MAX(0,(($L284)/(Cap_Nurse*$C284*(1-$H284)))-Model!$G$8)))*OTCost_Nurse)+((MIN(OTCapPct*Model!$G$17,MAX(0,(($L284)/(Cap_Tech*$C284*(1-$I284)))-Model!$G$17)))*OTCost_Tech)</f>
        <v>71818.676727592305</v>
      </c>
    </row>
    <row r="285" spans="1:17" x14ac:dyDescent="0.25">
      <c r="A285" s="11">
        <v>281</v>
      </c>
      <c r="B285" s="11" t="str">
        <f t="shared" ca="1" si="48"/>
        <v>Normal</v>
      </c>
      <c r="C285" s="11">
        <f t="shared" ca="1" si="49"/>
        <v>1</v>
      </c>
      <c r="D285" s="11">
        <f t="shared" ca="1" si="50"/>
        <v>0</v>
      </c>
      <c r="E285" s="11">
        <f t="shared" ca="1" si="51"/>
        <v>3</v>
      </c>
      <c r="F285" s="36">
        <f t="shared" ca="1" si="52"/>
        <v>0.99773153239835644</v>
      </c>
      <c r="G285" s="11">
        <f t="shared" ca="1" si="53"/>
        <v>2.140229250251164E-2</v>
      </c>
      <c r="H285" s="11">
        <f t="shared" ca="1" si="54"/>
        <v>0.12722744974492986</v>
      </c>
      <c r="I285" s="11">
        <f t="shared" ca="1" si="55"/>
        <v>0.14446477404481881</v>
      </c>
      <c r="J285" s="11">
        <f t="shared" ca="1" si="56"/>
        <v>70</v>
      </c>
      <c r="K285" s="11">
        <f t="shared" ca="1" si="57"/>
        <v>147</v>
      </c>
      <c r="L285" s="11">
        <f t="shared" ca="1" si="58"/>
        <v>36</v>
      </c>
      <c r="M285" s="11">
        <f ca="1">MAX(MAX(0,($J285*(1+0.5*Acuity_M))-(Model!$G$24*(1+OTCapPct)*(Cap_Doc*$C285*(1-$G285)))),MAX(0,($J285)-(Model!$G$6*(1+OTCapPct)*(Cap_Nurse*$C285*(1-$H285)))),MAX(0,($J285)-(Model!$G$15*(1+OTCapPct)*(Cap_Tech*$C285*(1-$I285)))),MAX(0,$J285-((BedsCurrent+BedsAdded)*ShiftHours*$F285/BedHr_M)),MAX(0,$J285*Acuity_M-(ImgBase+ImgExpOn*ImgExpAdd)),MAX(0,$J285-(LabBase+LabExpOn*LabExpAdd)))</f>
        <v>0</v>
      </c>
      <c r="N285" s="11">
        <f ca="1">MAX(MAX(0,($K285*(1+0.5*Acuity_E))-(Model!$G$25*(1+OTCapPct)*(Cap_Doc*$C285*(1-$G285)))),MAX(0,($K285)-(Model!$G$7*(1+OTCapPct)*(Cap_Nurse*$C285*(1-$H285)))),MAX(0,($K285)-(Model!$G$16*(1+OTCapPct)*(Cap_Tech*$C285*(1-$I285)))),MAX(0,$K285-((BedsCurrent+BedsAdded)*ShiftHours*$F285/BedHr_E)),MAX(0,$K285*Acuity_E-(ImgBase+ImgExpOn*ImgExpAdd)),MAX(0,$K285-(LabBase+LabExpOn*LabExpAdd)))</f>
        <v>52</v>
      </c>
      <c r="O285" s="11">
        <f ca="1">MAX(MAX(0,($L285*(1+0.5*Acuity_N))-(Model!$G$26*(1+OTCapPct)*(Cap_Doc*$C285*(1-$G285)))),MAX(0,($L285)-(Model!$G$8*(1+OTCapPct)*(Cap_Nurse*$C285*(1-$H285)))),MAX(0,($L285)-(Model!$G$17*(1+OTCapPct)*(Cap_Tech*$C285*(1-$I285)))),MAX(0,$L285-((BedsCurrent+BedsAdded)*ShiftHours*$F285/BedHr_N)),MAX(0,$L285*Acuity_N-(ImgBase+ImgExpOn*ImgExpAdd)),MAX(0,$L285-(LabBase+LabExpOn*LabExpAdd)))</f>
        <v>0</v>
      </c>
      <c r="P285" s="11">
        <f t="shared" ca="1" si="59"/>
        <v>52</v>
      </c>
      <c r="Q285" s="17">
        <f ca="1">((MIN(OTCapPct*Model!$G$24,MAX(0,(($J285*(1+0.5*Acuity_M))/(Cap_Doc*$C285*(1-$G285)))-Model!$G$24)))*OTCost_Doc)+((MIN(OTCapPct*Model!$G$6,MAX(0,(($J285)/(Cap_Nurse*$C285*(1-$H285)))-Model!$G$6)))*OTCost_Nurse)+((MIN(OTCapPct*Model!$G$15,MAX(0,(($J285)/(Cap_Tech*$C285*(1-$I285)))-Model!$G$15)))*OTCost_Tech)+((MIN(OTCapPct*Model!$G$25,MAX(0,(($K285*(1+0.5*Acuity_E))/(Cap_Doc*$C285*(1-$G285)))-Model!$G$25)))*OTCost_Doc)+((MIN(OTCapPct*Model!$G$7,MAX(0,(($K285)/(Cap_Nurse*$C285*(1-$H285)))-Model!$G$7)))*OTCost_Nurse)+((MIN(OTCapPct*Model!$G$16,MAX(0,(($K285)/(Cap_Tech*$C285*(1-$I285)))-Model!$G$16)))*OTCost_Tech)+((MIN(OTCapPct*Model!$G$26,MAX(0,(($L285*(1+0.5*Acuity_N))/(Cap_Doc*$C285*(1-$G285)))-Model!$G$26)))*OTCost_Doc)+((MIN(OTCapPct*Model!$G$8,MAX(0,(($L285)/(Cap_Nurse*$C285*(1-$H285)))-Model!$G$8)))*OTCost_Nurse)+((MIN(OTCapPct*Model!$G$17,MAX(0,(($L285)/(Cap_Tech*$C285*(1-$I285)))-Model!$G$17)))*OTCost_Tech)</f>
        <v>44875</v>
      </c>
    </row>
    <row r="286" spans="1:17" x14ac:dyDescent="0.25">
      <c r="A286" s="11">
        <v>282</v>
      </c>
      <c r="B286" s="11" t="str">
        <f t="shared" ca="1" si="48"/>
        <v>Severe</v>
      </c>
      <c r="C286" s="11">
        <f t="shared" ca="1" si="49"/>
        <v>0.8</v>
      </c>
      <c r="D286" s="11">
        <f t="shared" ca="1" si="50"/>
        <v>0</v>
      </c>
      <c r="E286" s="11">
        <f t="shared" ca="1" si="51"/>
        <v>1</v>
      </c>
      <c r="F286" s="36">
        <f t="shared" ca="1" si="52"/>
        <v>1.0156374239073924</v>
      </c>
      <c r="G286" s="11">
        <f t="shared" ca="1" si="53"/>
        <v>0.15833066925751133</v>
      </c>
      <c r="H286" s="11">
        <f t="shared" ca="1" si="54"/>
        <v>2.3608745941849196E-2</v>
      </c>
      <c r="I286" s="11">
        <f t="shared" ca="1" si="55"/>
        <v>2.3829982617395079E-2</v>
      </c>
      <c r="J286" s="11">
        <f t="shared" ca="1" si="56"/>
        <v>102</v>
      </c>
      <c r="K286" s="11">
        <f t="shared" ca="1" si="57"/>
        <v>102</v>
      </c>
      <c r="L286" s="11">
        <f t="shared" ca="1" si="58"/>
        <v>73</v>
      </c>
      <c r="M286" s="11">
        <f ca="1">MAX(MAX(0,($J286*(1+0.5*Acuity_M))-(Model!$G$24*(1+OTCapPct)*(Cap_Doc*$C286*(1-$G286)))),MAX(0,($J286)-(Model!$G$6*(1+OTCapPct)*(Cap_Nurse*$C286*(1-$H286)))),MAX(0,($J286)-(Model!$G$15*(1+OTCapPct)*(Cap_Tech*$C286*(1-$I286)))),MAX(0,$J286-((BedsCurrent+BedsAdded)*ShiftHours*$F286/BedHr_M)),MAX(0,$J286*Acuity_M-(ImgBase+ImgExpOn*ImgExpAdd)),MAX(0,$J286-(LabBase+LabExpOn*LabExpAdd)))</f>
        <v>37.469760233176018</v>
      </c>
      <c r="N286" s="11">
        <f ca="1">MAX(MAX(0,($K286*(1+0.5*Acuity_E))-(Model!$G$25*(1+OTCapPct)*(Cap_Doc*$C286*(1-$G286)))),MAX(0,($K286)-(Model!$G$7*(1+OTCapPct)*(Cap_Nurse*$C286*(1-$H286)))),MAX(0,($K286)-(Model!$G$16*(1+OTCapPct)*(Cap_Tech*$C286*(1-$I286)))),MAX(0,$K286-((BedsCurrent+BedsAdded)*ShiftHours*$F286/BedHr_E)),MAX(0,$K286*Acuity_E-(ImgBase+ImgExpOn*ImgExpAdd)),MAX(0,$K286-(LabBase+LabExpOn*LabExpAdd)))</f>
        <v>10.229664326446425</v>
      </c>
      <c r="O286" s="11">
        <f ca="1">MAX(MAX(0,($L286*(1+0.5*Acuity_N))-(Model!$G$26*(1+OTCapPct)*(Cap_Doc*$C286*(1-$G286)))),MAX(0,($L286)-(Model!$G$8*(1+OTCapPct)*(Cap_Nurse*$C286*(1-$H286)))),MAX(0,($L286)-(Model!$G$17*(1+OTCapPct)*(Cap_Tech*$C286*(1-$I286)))),MAX(0,$L286-((BedsCurrent+BedsAdded)*ShiftHours*$F286/BedHr_N)),MAX(0,$L286*Acuity_N-(ImgBase+ImgExpOn*ImgExpAdd)),MAX(0,$L286-(LabBase+LabExpOn*LabExpAdd)))</f>
        <v>23.349808186540798</v>
      </c>
      <c r="P286" s="11">
        <f t="shared" ca="1" si="59"/>
        <v>71.049232746163241</v>
      </c>
      <c r="Q286" s="17">
        <f ca="1">((MIN(OTCapPct*Model!$G$24,MAX(0,(($J286*(1+0.5*Acuity_M))/(Cap_Doc*$C286*(1-$G286)))-Model!$G$24)))*OTCost_Doc)+((MIN(OTCapPct*Model!$G$6,MAX(0,(($J286)/(Cap_Nurse*$C286*(1-$H286)))-Model!$G$6)))*OTCost_Nurse)+((MIN(OTCapPct*Model!$G$15,MAX(0,(($J286)/(Cap_Tech*$C286*(1-$I286)))-Model!$G$15)))*OTCost_Tech)+((MIN(OTCapPct*Model!$G$25,MAX(0,(($K286*(1+0.5*Acuity_E))/(Cap_Doc*$C286*(1-$G286)))-Model!$G$25)))*OTCost_Doc)+((MIN(OTCapPct*Model!$G$7,MAX(0,(($K286)/(Cap_Nurse*$C286*(1-$H286)))-Model!$G$7)))*OTCost_Nurse)+((MIN(OTCapPct*Model!$G$16,MAX(0,(($K286)/(Cap_Tech*$C286*(1-$I286)))-Model!$G$16)))*OTCost_Tech)+((MIN(OTCapPct*Model!$G$26,MAX(0,(($L286*(1+0.5*Acuity_N))/(Cap_Doc*$C286*(1-$G286)))-Model!$G$26)))*OTCost_Doc)+((MIN(OTCapPct*Model!$G$8,MAX(0,(($L286)/(Cap_Nurse*$C286*(1-$H286)))-Model!$G$8)))*OTCost_Nurse)+((MIN(OTCapPct*Model!$G$17,MAX(0,(($L286)/(Cap_Tech*$C286*(1-$I286)))-Model!$G$17)))*OTCost_Tech)</f>
        <v>86955.747055164582</v>
      </c>
    </row>
    <row r="287" spans="1:17" x14ac:dyDescent="0.25">
      <c r="A287" s="11">
        <v>283</v>
      </c>
      <c r="B287" s="11" t="str">
        <f t="shared" ca="1" si="48"/>
        <v>Severe</v>
      </c>
      <c r="C287" s="11">
        <f t="shared" ca="1" si="49"/>
        <v>0.8</v>
      </c>
      <c r="D287" s="11">
        <f t="shared" ca="1" si="50"/>
        <v>0</v>
      </c>
      <c r="E287" s="11">
        <f t="shared" ca="1" si="51"/>
        <v>1</v>
      </c>
      <c r="F287" s="36">
        <f t="shared" ca="1" si="52"/>
        <v>1.1803029065290704</v>
      </c>
      <c r="G287" s="11">
        <f t="shared" ca="1" si="53"/>
        <v>6.469329411740965E-2</v>
      </c>
      <c r="H287" s="11">
        <f t="shared" ca="1" si="54"/>
        <v>7.7460321404058813E-2</v>
      </c>
      <c r="I287" s="11">
        <f t="shared" ca="1" si="55"/>
        <v>9.982219211149293E-2</v>
      </c>
      <c r="J287" s="11">
        <f t="shared" ca="1" si="56"/>
        <v>83</v>
      </c>
      <c r="K287" s="11">
        <f t="shared" ca="1" si="57"/>
        <v>108</v>
      </c>
      <c r="L287" s="11">
        <f t="shared" ca="1" si="58"/>
        <v>64</v>
      </c>
      <c r="M287" s="11">
        <f ca="1">MAX(MAX(0,($J287*(1+0.5*Acuity_M))-(Model!$G$24*(1+OTCapPct)*(Cap_Doc*$C287*(1-$G287)))),MAX(0,($J287)-(Model!$G$6*(1+OTCapPct)*(Cap_Nurse*$C287*(1-$H287)))),MAX(0,($J287)-(Model!$G$15*(1+OTCapPct)*(Cap_Tech*$C287*(1-$I287)))),MAX(0,$J287-((BedsCurrent+BedsAdded)*ShiftHours*$F287/BedHr_M)),MAX(0,$J287*Acuity_M-(ImgBase+ImgExpOn*ImgExpAdd)),MAX(0,$J287-(LabBase+LabExpOn*LabExpAdd)))</f>
        <v>7.9523964705668817</v>
      </c>
      <c r="N287" s="11">
        <f ca="1">MAX(MAX(0,($K287*(1+0.5*Acuity_E))-(Model!$G$25*(1+OTCapPct)*(Cap_Doc*$C287*(1-$G287)))),MAX(0,($K287)-(Model!$G$7*(1+OTCapPct)*(Cap_Nurse*$C287*(1-$H287)))),MAX(0,($K287)-(Model!$G$16*(1+OTCapPct)*(Cap_Tech*$C287*(1-$I287)))),MAX(0,$K287-((BedsCurrent+BedsAdded)*ShiftHours*$F287/BedHr_E)),MAX(0,$K287*Acuity_E-(ImgBase+ImgExpOn*ImgExpAdd)),MAX(0,$K287-(LabBase+LabExpOn*LabExpAdd)))</f>
        <v>13</v>
      </c>
      <c r="O287" s="11">
        <f ca="1">MAX(MAX(0,($L287*(1+0.5*Acuity_N))-(Model!$G$26*(1+OTCapPct)*(Cap_Doc*$C287*(1-$G287)))),MAX(0,($L287)-(Model!$G$8*(1+OTCapPct)*(Cap_Nurse*$C287*(1-$H287)))),MAX(0,($L287)-(Model!$G$17*(1+OTCapPct)*(Cap_Tech*$C287*(1-$I287)))),MAX(0,$L287-((BedsCurrent+BedsAdded)*ShiftHours*$F287/BedHr_N)),MAX(0,$L287*Acuity_N-(ImgBase+ImgExpOn*ImgExpAdd)),MAX(0,$L287-(LabBase+LabExpOn*LabExpAdd)))</f>
        <v>6.2579171764534891</v>
      </c>
      <c r="P287" s="11">
        <f t="shared" ca="1" si="59"/>
        <v>27.210313647020371</v>
      </c>
      <c r="Q287" s="17">
        <f ca="1">((MIN(OTCapPct*Model!$G$24,MAX(0,(($J287*(1+0.5*Acuity_M))/(Cap_Doc*$C287*(1-$G287)))-Model!$G$24)))*OTCost_Doc)+((MIN(OTCapPct*Model!$G$6,MAX(0,(($J287)/(Cap_Nurse*$C287*(1-$H287)))-Model!$G$6)))*OTCost_Nurse)+((MIN(OTCapPct*Model!$G$15,MAX(0,(($J287)/(Cap_Tech*$C287*(1-$I287)))-Model!$G$15)))*OTCost_Tech)+((MIN(OTCapPct*Model!$G$25,MAX(0,(($K287*(1+0.5*Acuity_E))/(Cap_Doc*$C287*(1-$G287)))-Model!$G$25)))*OTCost_Doc)+((MIN(OTCapPct*Model!$G$7,MAX(0,(($K287)/(Cap_Nurse*$C287*(1-$H287)))-Model!$G$7)))*OTCost_Nurse)+((MIN(OTCapPct*Model!$G$16,MAX(0,(($K287)/(Cap_Tech*$C287*(1-$I287)))-Model!$G$16)))*OTCost_Tech)+((MIN(OTCapPct*Model!$G$26,MAX(0,(($L287*(1+0.5*Acuity_N))/(Cap_Doc*$C287*(1-$G287)))-Model!$G$26)))*OTCost_Doc)+((MIN(OTCapPct*Model!$G$8,MAX(0,(($L287)/(Cap_Nurse*$C287*(1-$H287)))-Model!$G$8)))*OTCost_Nurse)+((MIN(OTCapPct*Model!$G$17,MAX(0,(($L287)/(Cap_Tech*$C287*(1-$I287)))-Model!$G$17)))*OTCost_Tech)</f>
        <v>96356.727926845168</v>
      </c>
    </row>
    <row r="288" spans="1:17" x14ac:dyDescent="0.25">
      <c r="A288" s="11">
        <v>284</v>
      </c>
      <c r="B288" s="11" t="str">
        <f t="shared" ca="1" si="48"/>
        <v>Normal</v>
      </c>
      <c r="C288" s="11">
        <f t="shared" ca="1" si="49"/>
        <v>1</v>
      </c>
      <c r="D288" s="11">
        <f t="shared" ca="1" si="50"/>
        <v>0</v>
      </c>
      <c r="E288" s="11">
        <f t="shared" ca="1" si="51"/>
        <v>2</v>
      </c>
      <c r="F288" s="36">
        <f t="shared" ca="1" si="52"/>
        <v>0.96007859486660285</v>
      </c>
      <c r="G288" s="11">
        <f t="shared" ca="1" si="53"/>
        <v>7.4437591864280811E-2</v>
      </c>
      <c r="H288" s="11">
        <f t="shared" ca="1" si="54"/>
        <v>2.1315205365970417E-2</v>
      </c>
      <c r="I288" s="11">
        <f t="shared" ca="1" si="55"/>
        <v>6.2694843280640428E-2</v>
      </c>
      <c r="J288" s="11">
        <f t="shared" ca="1" si="56"/>
        <v>94</v>
      </c>
      <c r="K288" s="11">
        <f t="shared" ca="1" si="57"/>
        <v>128</v>
      </c>
      <c r="L288" s="11">
        <f t="shared" ca="1" si="58"/>
        <v>68</v>
      </c>
      <c r="M288" s="11">
        <f ca="1">MAX(MAX(0,($J288*(1+0.5*Acuity_M))-(Model!$G$24*(1+OTCapPct)*(Cap_Doc*$C288*(1-$G288)))),MAX(0,($J288)-(Model!$G$6*(1+OTCapPct)*(Cap_Nurse*$C288*(1-$H288)))),MAX(0,($J288)-(Model!$G$15*(1+OTCapPct)*(Cap_Tech*$C288*(1-$I288)))),MAX(0,$J288-((BedsCurrent+BedsAdded)*ShiftHours*$F288/BedHr_M)),MAX(0,$J288*Acuity_M-(ImgBase+ImgExpOn*ImgExpAdd)),MAX(0,$J288-(LabBase+LabExpOn*LabExpAdd)))</f>
        <v>0.21422908473159907</v>
      </c>
      <c r="N288" s="11">
        <f ca="1">MAX(MAX(0,($K288*(1+0.5*Acuity_E))-(Model!$G$25*(1+OTCapPct)*(Cap_Doc*$C288*(1-$G288)))),MAX(0,($K288)-(Model!$G$7*(1+OTCapPct)*(Cap_Nurse*$C288*(1-$H288)))),MAX(0,($K288)-(Model!$G$16*(1+OTCapPct)*(Cap_Tech*$C288*(1-$I288)))),MAX(0,$K288-((BedsCurrent+BedsAdded)*ShiftHours*$F288/BedHr_E)),MAX(0,$K288*Acuity_E-(ImgBase+ImgExpOn*ImgExpAdd)),MAX(0,$K288-(LabBase+LabExpOn*LabExpAdd)))</f>
        <v>33</v>
      </c>
      <c r="O288" s="11">
        <f ca="1">MAX(MAX(0,($L288*(1+0.5*Acuity_N))-(Model!$G$26*(1+OTCapPct)*(Cap_Doc*$C288*(1-$G288)))),MAX(0,($L288)-(Model!$G$8*(1+OTCapPct)*(Cap_Nurse*$C288*(1-$H288)))),MAX(0,($L288)-(Model!$G$17*(1+OTCapPct)*(Cap_Tech*$C288*(1-$I288)))),MAX(0,$L288-((BedsCurrent+BedsAdded)*ShiftHours*$F288/BedHr_N)),MAX(0,$L288*Acuity_N-(ImgBase+ImgExpOn*ImgExpAdd)),MAX(0,$L288-(LabBase+LabExpOn*LabExpAdd)))</f>
        <v>0</v>
      </c>
      <c r="P288" s="11">
        <f t="shared" ca="1" si="59"/>
        <v>33.214229084731599</v>
      </c>
      <c r="Q288" s="17">
        <f ca="1">((MIN(OTCapPct*Model!$G$24,MAX(0,(($J288*(1+0.5*Acuity_M))/(Cap_Doc*$C288*(1-$G288)))-Model!$G$24)))*OTCost_Doc)+((MIN(OTCapPct*Model!$G$6,MAX(0,(($J288)/(Cap_Nurse*$C288*(1-$H288)))-Model!$G$6)))*OTCost_Nurse)+((MIN(OTCapPct*Model!$G$15,MAX(0,(($J288)/(Cap_Tech*$C288*(1-$I288)))-Model!$G$15)))*OTCost_Tech)+((MIN(OTCapPct*Model!$G$25,MAX(0,(($K288*(1+0.5*Acuity_E))/(Cap_Doc*$C288*(1-$G288)))-Model!$G$25)))*OTCost_Doc)+((MIN(OTCapPct*Model!$G$7,MAX(0,(($K288)/(Cap_Nurse*$C288*(1-$H288)))-Model!$G$7)))*OTCost_Nurse)+((MIN(OTCapPct*Model!$G$16,MAX(0,(($K288)/(Cap_Tech*$C288*(1-$I288)))-Model!$G$16)))*OTCost_Tech)+((MIN(OTCapPct*Model!$G$26,MAX(0,(($L288*(1+0.5*Acuity_N))/(Cap_Doc*$C288*(1-$G288)))-Model!$G$26)))*OTCost_Doc)+((MIN(OTCapPct*Model!$G$8,MAX(0,(($L288)/(Cap_Nurse*$C288*(1-$H288)))-Model!$G$8)))*OTCost_Nurse)+((MIN(OTCapPct*Model!$G$17,MAX(0,(($L288)/(Cap_Tech*$C288*(1-$I288)))-Model!$G$17)))*OTCost_Tech)</f>
        <v>66710.726115538608</v>
      </c>
    </row>
    <row r="289" spans="1:17" x14ac:dyDescent="0.25">
      <c r="A289" s="11">
        <v>285</v>
      </c>
      <c r="B289" s="11" t="str">
        <f t="shared" ca="1" si="48"/>
        <v>Normal</v>
      </c>
      <c r="C289" s="11">
        <f t="shared" ca="1" si="49"/>
        <v>1</v>
      </c>
      <c r="D289" s="11">
        <f t="shared" ca="1" si="50"/>
        <v>0</v>
      </c>
      <c r="E289" s="11">
        <f t="shared" ca="1" si="51"/>
        <v>3</v>
      </c>
      <c r="F289" s="36">
        <f t="shared" ca="1" si="52"/>
        <v>1.1009731541024721</v>
      </c>
      <c r="G289" s="11">
        <f t="shared" ca="1" si="53"/>
        <v>9.1701643350461617E-2</v>
      </c>
      <c r="H289" s="11">
        <f t="shared" ca="1" si="54"/>
        <v>9.6748460654947688E-2</v>
      </c>
      <c r="I289" s="11">
        <f t="shared" ca="1" si="55"/>
        <v>0</v>
      </c>
      <c r="J289" s="11">
        <f t="shared" ca="1" si="56"/>
        <v>94</v>
      </c>
      <c r="K289" s="11">
        <f t="shared" ca="1" si="57"/>
        <v>123</v>
      </c>
      <c r="L289" s="11">
        <f t="shared" ca="1" si="58"/>
        <v>58</v>
      </c>
      <c r="M289" s="11">
        <f ca="1">MAX(MAX(0,($J289*(1+0.5*Acuity_M))-(Model!$G$24*(1+OTCapPct)*(Cap_Doc*$C289*(1-$G289)))),MAX(0,($J289)-(Model!$G$6*(1+OTCapPct)*(Cap_Nurse*$C289*(1-$H289)))),MAX(0,($J289)-(Model!$G$15*(1+OTCapPct)*(Cap_Tech*$C289*(1-$I289)))),MAX(0,$J289-((BedsCurrent+BedsAdded)*ShiftHours*$F289/BedHr_M)),MAX(0,$J289*Acuity_M-(ImgBase+ImgExpOn*ImgExpAdd)),MAX(0,$J289-(LabBase+LabExpOn*LabExpAdd)))</f>
        <v>2.1564348769269372</v>
      </c>
      <c r="N289" s="11">
        <f ca="1">MAX(MAX(0,($K289*(1+0.5*Acuity_E))-(Model!$G$25*(1+OTCapPct)*(Cap_Doc*$C289*(1-$G289)))),MAX(0,($K289)-(Model!$G$7*(1+OTCapPct)*(Cap_Nurse*$C289*(1-$H289)))),MAX(0,($K289)-(Model!$G$16*(1+OTCapPct)*(Cap_Tech*$C289*(1-$I289)))),MAX(0,$K289-((BedsCurrent+BedsAdded)*ShiftHours*$F289/BedHr_E)),MAX(0,$K289*Acuity_E-(ImgBase+ImgExpOn*ImgExpAdd)),MAX(0,$K289-(LabBase+LabExpOn*LabExpAdd)))</f>
        <v>28</v>
      </c>
      <c r="O289" s="11">
        <f ca="1">MAX(MAX(0,($L289*(1+0.5*Acuity_N))-(Model!$G$26*(1+OTCapPct)*(Cap_Doc*$C289*(1-$G289)))),MAX(0,($L289)-(Model!$G$8*(1+OTCapPct)*(Cap_Nurse*$C289*(1-$H289)))),MAX(0,($L289)-(Model!$G$17*(1+OTCapPct)*(Cap_Tech*$C289*(1-$I289)))),MAX(0,$L289-((BedsCurrent+BedsAdded)*ShiftHours*$F289/BedHr_N)),MAX(0,$L289*Acuity_N-(ImgBase+ImgExpOn*ImgExpAdd)),MAX(0,$L289-(LabBase+LabExpOn*LabExpAdd)))</f>
        <v>0</v>
      </c>
      <c r="P289" s="11">
        <f t="shared" ca="1" si="59"/>
        <v>30.156434876926937</v>
      </c>
      <c r="Q289" s="17">
        <f ca="1">((MIN(OTCapPct*Model!$G$24,MAX(0,(($J289*(1+0.5*Acuity_M))/(Cap_Doc*$C289*(1-$G289)))-Model!$G$24)))*OTCost_Doc)+((MIN(OTCapPct*Model!$G$6,MAX(0,(($J289)/(Cap_Nurse*$C289*(1-$H289)))-Model!$G$6)))*OTCost_Nurse)+((MIN(OTCapPct*Model!$G$15,MAX(0,(($J289)/(Cap_Tech*$C289*(1-$I289)))-Model!$G$15)))*OTCost_Tech)+((MIN(OTCapPct*Model!$G$25,MAX(0,(($K289*(1+0.5*Acuity_E))/(Cap_Doc*$C289*(1-$G289)))-Model!$G$25)))*OTCost_Doc)+((MIN(OTCapPct*Model!$G$7,MAX(0,(($K289)/(Cap_Nurse*$C289*(1-$H289)))-Model!$G$7)))*OTCost_Nurse)+((MIN(OTCapPct*Model!$G$16,MAX(0,(($K289)/(Cap_Tech*$C289*(1-$I289)))-Model!$G$16)))*OTCost_Tech)+((MIN(OTCapPct*Model!$G$26,MAX(0,(($L289*(1+0.5*Acuity_N))/(Cap_Doc*$C289*(1-$G289)))-Model!$G$26)))*OTCost_Doc)+((MIN(OTCapPct*Model!$G$8,MAX(0,(($L289)/(Cap_Nurse*$C289*(1-$H289)))-Model!$G$8)))*OTCost_Nurse)+((MIN(OTCapPct*Model!$G$17,MAX(0,(($L289)/(Cap_Tech*$C289*(1-$I289)))-Model!$G$17)))*OTCost_Tech)</f>
        <v>60031.33116088972</v>
      </c>
    </row>
    <row r="290" spans="1:17" x14ac:dyDescent="0.25">
      <c r="A290" s="11">
        <v>286</v>
      </c>
      <c r="B290" s="11" t="str">
        <f t="shared" ca="1" si="48"/>
        <v>Normal</v>
      </c>
      <c r="C290" s="11">
        <f t="shared" ca="1" si="49"/>
        <v>1</v>
      </c>
      <c r="D290" s="11">
        <f t="shared" ca="1" si="50"/>
        <v>0</v>
      </c>
      <c r="E290" s="11">
        <f t="shared" ca="1" si="51"/>
        <v>2</v>
      </c>
      <c r="F290" s="36">
        <f t="shared" ca="1" si="52"/>
        <v>1.03105148058278</v>
      </c>
      <c r="G290" s="11">
        <f t="shared" ca="1" si="53"/>
        <v>8.5578231224402307E-2</v>
      </c>
      <c r="H290" s="11">
        <f t="shared" ca="1" si="54"/>
        <v>8.7864449307175047E-2</v>
      </c>
      <c r="I290" s="11">
        <f t="shared" ca="1" si="55"/>
        <v>8.440686359834898E-2</v>
      </c>
      <c r="J290" s="11">
        <f t="shared" ca="1" si="56"/>
        <v>92</v>
      </c>
      <c r="K290" s="11">
        <f t="shared" ca="1" si="57"/>
        <v>128</v>
      </c>
      <c r="L290" s="11">
        <f t="shared" ca="1" si="58"/>
        <v>69</v>
      </c>
      <c r="M290" s="11">
        <f ca="1">MAX(MAX(0,($J290*(1+0.5*Acuity_M))-(Model!$G$24*(1+OTCapPct)*(Cap_Doc*$C290*(1-$G290)))),MAX(0,($J290)-(Model!$G$6*(1+OTCapPct)*(Cap_Nurse*$C290*(1-$H290)))),MAX(0,($J290)-(Model!$G$15*(1+OTCapPct)*(Cap_Tech*$C290*(1-$I290)))),MAX(0,$J290-((BedsCurrent+BedsAdded)*ShiftHours*$F290/BedHr_M)),MAX(0,$J290*Acuity_M-(ImgBase+ImgExpOn*ImgExpAdd)),MAX(0,$J290-(LabBase+LabExpOn*LabExpAdd)))</f>
        <v>0</v>
      </c>
      <c r="N290" s="11">
        <f ca="1">MAX(MAX(0,($K290*(1+0.5*Acuity_E))-(Model!$G$25*(1+OTCapPct)*(Cap_Doc*$C290*(1-$G290)))),MAX(0,($K290)-(Model!$G$7*(1+OTCapPct)*(Cap_Nurse*$C290*(1-$H290)))),MAX(0,($K290)-(Model!$G$16*(1+OTCapPct)*(Cap_Tech*$C290*(1-$I290)))),MAX(0,$K290-((BedsCurrent+BedsAdded)*ShiftHours*$F290/BedHr_E)),MAX(0,$K290*Acuity_E-(ImgBase+ImgExpOn*ImgExpAdd)),MAX(0,$K290-(LabBase+LabExpOn*LabExpAdd)))</f>
        <v>33</v>
      </c>
      <c r="O290" s="11">
        <f ca="1">MAX(MAX(0,($L290*(1+0.5*Acuity_N))-(Model!$G$26*(1+OTCapPct)*(Cap_Doc*$C290*(1-$G290)))),MAX(0,($L290)-(Model!$G$8*(1+OTCapPct)*(Cap_Nurse*$C290*(1-$H290)))),MAX(0,($L290)-(Model!$G$17*(1+OTCapPct)*(Cap_Tech*$C290*(1-$I290)))),MAX(0,$L290-((BedsCurrent+BedsAdded)*ShiftHours*$F290/BedHr_N)),MAX(0,$L290*Acuity_N-(ImgBase+ImgExpOn*ImgExpAdd)),MAX(0,$L290-(LabBase+LabExpOn*LabExpAdd)))</f>
        <v>0</v>
      </c>
      <c r="P290" s="11">
        <f t="shared" ca="1" si="59"/>
        <v>33</v>
      </c>
      <c r="Q290" s="17">
        <f ca="1">((MIN(OTCapPct*Model!$G$24,MAX(0,(($J290*(1+0.5*Acuity_M))/(Cap_Doc*$C290*(1-$G290)))-Model!$G$24)))*OTCost_Doc)+((MIN(OTCapPct*Model!$G$6,MAX(0,(($J290)/(Cap_Nurse*$C290*(1-$H290)))-Model!$G$6)))*OTCost_Nurse)+((MIN(OTCapPct*Model!$G$15,MAX(0,(($J290)/(Cap_Tech*$C290*(1-$I290)))-Model!$G$15)))*OTCost_Tech)+((MIN(OTCapPct*Model!$G$25,MAX(0,(($K290*(1+0.5*Acuity_E))/(Cap_Doc*$C290*(1-$G290)))-Model!$G$25)))*OTCost_Doc)+((MIN(OTCapPct*Model!$G$7,MAX(0,(($K290)/(Cap_Nurse*$C290*(1-$H290)))-Model!$G$7)))*OTCost_Nurse)+((MIN(OTCapPct*Model!$G$16,MAX(0,(($K290)/(Cap_Tech*$C290*(1-$I290)))-Model!$G$16)))*OTCost_Tech)+((MIN(OTCapPct*Model!$G$26,MAX(0,(($L290*(1+0.5*Acuity_N))/(Cap_Doc*$C290*(1-$G290)))-Model!$G$26)))*OTCost_Doc)+((MIN(OTCapPct*Model!$G$8,MAX(0,(($L290)/(Cap_Nurse*$C290*(1-$H290)))-Model!$G$8)))*OTCost_Nurse)+((MIN(OTCapPct*Model!$G$17,MAX(0,(($L290)/(Cap_Tech*$C290*(1-$I290)))-Model!$G$17)))*OTCost_Tech)</f>
        <v>78132.916707747616</v>
      </c>
    </row>
    <row r="291" spans="1:17" x14ac:dyDescent="0.25">
      <c r="A291" s="11">
        <v>287</v>
      </c>
      <c r="B291" s="11" t="str">
        <f t="shared" ca="1" si="48"/>
        <v>Normal</v>
      </c>
      <c r="C291" s="11">
        <f t="shared" ca="1" si="49"/>
        <v>1</v>
      </c>
      <c r="D291" s="11">
        <f t="shared" ca="1" si="50"/>
        <v>0</v>
      </c>
      <c r="E291" s="11">
        <f t="shared" ca="1" si="51"/>
        <v>2</v>
      </c>
      <c r="F291" s="36">
        <f t="shared" ca="1" si="52"/>
        <v>1.0441709201117844</v>
      </c>
      <c r="G291" s="11">
        <f t="shared" ca="1" si="53"/>
        <v>7.9377591581188317E-2</v>
      </c>
      <c r="H291" s="11">
        <f t="shared" ca="1" si="54"/>
        <v>8.2933898982137766E-2</v>
      </c>
      <c r="I291" s="11">
        <f t="shared" ca="1" si="55"/>
        <v>0</v>
      </c>
      <c r="J291" s="11">
        <f t="shared" ca="1" si="56"/>
        <v>95</v>
      </c>
      <c r="K291" s="11">
        <f t="shared" ca="1" si="57"/>
        <v>106</v>
      </c>
      <c r="L291" s="11">
        <f t="shared" ca="1" si="58"/>
        <v>67</v>
      </c>
      <c r="M291" s="11">
        <f ca="1">MAX(MAX(0,($J291*(1+0.5*Acuity_M))-(Model!$G$24*(1+OTCapPct)*(Cap_Doc*$C291*(1-$G291)))),MAX(0,($J291)-(Model!$G$6*(1+OTCapPct)*(Cap_Nurse*$C291*(1-$H291)))),MAX(0,($J291)-(Model!$G$15*(1+OTCapPct)*(Cap_Tech*$C291*(1-$I291)))),MAX(0,$J291-((BedsCurrent+BedsAdded)*ShiftHours*$F291/BedHr_M)),MAX(0,$J291*Acuity_M-(ImgBase+ImgExpOn*ImgExpAdd)),MAX(0,$J291-(LabBase+LabExpOn*LabExpAdd)))</f>
        <v>1.8799790528836837</v>
      </c>
      <c r="N291" s="11">
        <f ca="1">MAX(MAX(0,($K291*(1+0.5*Acuity_E))-(Model!$G$25*(1+OTCapPct)*(Cap_Doc*$C291*(1-$G291)))),MAX(0,($K291)-(Model!$G$7*(1+OTCapPct)*(Cap_Nurse*$C291*(1-$H291)))),MAX(0,($K291)-(Model!$G$16*(1+OTCapPct)*(Cap_Tech*$C291*(1-$I291)))),MAX(0,$K291-((BedsCurrent+BedsAdded)*ShiftHours*$F291/BedHr_E)),MAX(0,$K291*Acuity_E-(ImgBase+ImgExpOn*ImgExpAdd)),MAX(0,$K291-(LabBase+LabExpOn*LabExpAdd)))</f>
        <v>11</v>
      </c>
      <c r="O291" s="11">
        <f ca="1">MAX(MAX(0,($L291*(1+0.5*Acuity_N))-(Model!$G$26*(1+OTCapPct)*(Cap_Doc*$C291*(1-$G291)))),MAX(0,($L291)-(Model!$G$8*(1+OTCapPct)*(Cap_Nurse*$C291*(1-$H291)))),MAX(0,($L291)-(Model!$G$17*(1+OTCapPct)*(Cap_Tech*$C291*(1-$I291)))),MAX(0,$L291-((BedsCurrent+BedsAdded)*ShiftHours*$F291/BedHr_N)),MAX(0,$L291*Acuity_N-(ImgBase+ImgExpOn*ImgExpAdd)),MAX(0,$L291-(LabBase+LabExpOn*LabExpAdd)))</f>
        <v>0</v>
      </c>
      <c r="P291" s="11">
        <f t="shared" ca="1" si="59"/>
        <v>12.879979052883684</v>
      </c>
      <c r="Q291" s="17">
        <f ca="1">((MIN(OTCapPct*Model!$G$24,MAX(0,(($J291*(1+0.5*Acuity_M))/(Cap_Doc*$C291*(1-$G291)))-Model!$G$24)))*OTCost_Doc)+((MIN(OTCapPct*Model!$G$6,MAX(0,(($J291)/(Cap_Nurse*$C291*(1-$H291)))-Model!$G$6)))*OTCost_Nurse)+((MIN(OTCapPct*Model!$G$15,MAX(0,(($J291)/(Cap_Tech*$C291*(1-$I291)))-Model!$G$15)))*OTCost_Tech)+((MIN(OTCapPct*Model!$G$25,MAX(0,(($K291*(1+0.5*Acuity_E))/(Cap_Doc*$C291*(1-$G291)))-Model!$G$25)))*OTCost_Doc)+((MIN(OTCapPct*Model!$G$7,MAX(0,(($K291)/(Cap_Nurse*$C291*(1-$H291)))-Model!$G$7)))*OTCost_Nurse)+((MIN(OTCapPct*Model!$G$16,MAX(0,(($K291)/(Cap_Tech*$C291*(1-$I291)))-Model!$G$16)))*OTCost_Tech)+((MIN(OTCapPct*Model!$G$26,MAX(0,(($L291*(1+0.5*Acuity_N))/(Cap_Doc*$C291*(1-$G291)))-Model!$G$26)))*OTCost_Doc)+((MIN(OTCapPct*Model!$G$8,MAX(0,(($L291)/(Cap_Nurse*$C291*(1-$H291)))-Model!$G$8)))*OTCost_Nurse)+((MIN(OTCapPct*Model!$G$17,MAX(0,(($L291)/(Cap_Tech*$C291*(1-$I291)))-Model!$G$17)))*OTCost_Tech)</f>
        <v>41608.214507901866</v>
      </c>
    </row>
    <row r="292" spans="1:17" x14ac:dyDescent="0.25">
      <c r="A292" s="11">
        <v>288</v>
      </c>
      <c r="B292" s="11" t="str">
        <f t="shared" ca="1" si="48"/>
        <v>Normal</v>
      </c>
      <c r="C292" s="11">
        <f t="shared" ca="1" si="49"/>
        <v>1</v>
      </c>
      <c r="D292" s="11">
        <f t="shared" ca="1" si="50"/>
        <v>0</v>
      </c>
      <c r="E292" s="11">
        <f t="shared" ca="1" si="51"/>
        <v>1</v>
      </c>
      <c r="F292" s="36">
        <f t="shared" ca="1" si="52"/>
        <v>0.803072739583651</v>
      </c>
      <c r="G292" s="11">
        <f t="shared" ca="1" si="53"/>
        <v>0</v>
      </c>
      <c r="H292" s="11">
        <f t="shared" ca="1" si="54"/>
        <v>7.4528809694445239E-2</v>
      </c>
      <c r="I292" s="11">
        <f t="shared" ca="1" si="55"/>
        <v>0.10972221671783508</v>
      </c>
      <c r="J292" s="11">
        <f t="shared" ca="1" si="56"/>
        <v>106</v>
      </c>
      <c r="K292" s="11">
        <f t="shared" ca="1" si="57"/>
        <v>74</v>
      </c>
      <c r="L292" s="11">
        <f t="shared" ca="1" si="58"/>
        <v>80</v>
      </c>
      <c r="M292" s="11">
        <f ca="1">MAX(MAX(0,($J292*(1+0.5*Acuity_M))-(Model!$G$24*(1+OTCapPct)*(Cap_Doc*$C292*(1-$G292)))),MAX(0,($J292)-(Model!$G$6*(1+OTCapPct)*(Cap_Nurse*$C292*(1-$H292)))),MAX(0,($J292)-(Model!$G$15*(1+OTCapPct)*(Cap_Tech*$C292*(1-$I292)))),MAX(0,$J292-((BedsCurrent+BedsAdded)*ShiftHours*$F292/BedHr_M)),MAX(0,$J292*Acuity_M-(ImgBase+ImgExpOn*ImgExpAdd)),MAX(0,$J292-(LabBase+LabExpOn*LabExpAdd)))</f>
        <v>11</v>
      </c>
      <c r="N292" s="11">
        <f ca="1">MAX(MAX(0,($K292*(1+0.5*Acuity_E))-(Model!$G$25*(1+OTCapPct)*(Cap_Doc*$C292*(1-$G292)))),MAX(0,($K292)-(Model!$G$7*(1+OTCapPct)*(Cap_Nurse*$C292*(1-$H292)))),MAX(0,($K292)-(Model!$G$16*(1+OTCapPct)*(Cap_Tech*$C292*(1-$I292)))),MAX(0,$K292-((BedsCurrent+BedsAdded)*ShiftHours*$F292/BedHr_E)),MAX(0,$K292*Acuity_E-(ImgBase+ImgExpOn*ImgExpAdd)),MAX(0,$K292-(LabBase+LabExpOn*LabExpAdd)))</f>
        <v>0</v>
      </c>
      <c r="O292" s="11">
        <f ca="1">MAX(MAX(0,($L292*(1+0.5*Acuity_N))-(Model!$G$26*(1+OTCapPct)*(Cap_Doc*$C292*(1-$G292)))),MAX(0,($L292)-(Model!$G$8*(1+OTCapPct)*(Cap_Nurse*$C292*(1-$H292)))),MAX(0,($L292)-(Model!$G$17*(1+OTCapPct)*(Cap_Tech*$C292*(1-$I292)))),MAX(0,$L292-((BedsCurrent+BedsAdded)*ShiftHours*$F292/BedHr_N)),MAX(0,$L292*Acuity_N-(ImgBase+ImgExpOn*ImgExpAdd)),MAX(0,$L292-(LabBase+LabExpOn*LabExpAdd)))</f>
        <v>2</v>
      </c>
      <c r="P292" s="11">
        <f t="shared" ca="1" si="59"/>
        <v>13</v>
      </c>
      <c r="Q292" s="17">
        <f ca="1">((MIN(OTCapPct*Model!$G$24,MAX(0,(($J292*(1+0.5*Acuity_M))/(Cap_Doc*$C292*(1-$G292)))-Model!$G$24)))*OTCost_Doc)+((MIN(OTCapPct*Model!$G$6,MAX(0,(($J292)/(Cap_Nurse*$C292*(1-$H292)))-Model!$G$6)))*OTCost_Nurse)+((MIN(OTCapPct*Model!$G$15,MAX(0,(($J292)/(Cap_Tech*$C292*(1-$I292)))-Model!$G$15)))*OTCost_Tech)+((MIN(OTCapPct*Model!$G$25,MAX(0,(($K292*(1+0.5*Acuity_E))/(Cap_Doc*$C292*(1-$G292)))-Model!$G$25)))*OTCost_Doc)+((MIN(OTCapPct*Model!$G$7,MAX(0,(($K292)/(Cap_Nurse*$C292*(1-$H292)))-Model!$G$7)))*OTCost_Nurse)+((MIN(OTCapPct*Model!$G$16,MAX(0,(($K292)/(Cap_Tech*$C292*(1-$I292)))-Model!$G$16)))*OTCost_Tech)+((MIN(OTCapPct*Model!$G$26,MAX(0,(($L292*(1+0.5*Acuity_N))/(Cap_Doc*$C292*(1-$G292)))-Model!$G$26)))*OTCost_Doc)+((MIN(OTCapPct*Model!$G$8,MAX(0,(($L292)/(Cap_Nurse*$C292*(1-$H292)))-Model!$G$8)))*OTCost_Nurse)+((MIN(OTCapPct*Model!$G$17,MAX(0,(($L292)/(Cap_Tech*$C292*(1-$I292)))-Model!$G$17)))*OTCost_Tech)</f>
        <v>53322.995450594572</v>
      </c>
    </row>
    <row r="293" spans="1:17" x14ac:dyDescent="0.25">
      <c r="A293" s="11">
        <v>289</v>
      </c>
      <c r="B293" s="11" t="str">
        <f t="shared" ca="1" si="48"/>
        <v>Complex</v>
      </c>
      <c r="C293" s="11">
        <f t="shared" ca="1" si="49"/>
        <v>0.9</v>
      </c>
      <c r="D293" s="11">
        <f t="shared" ca="1" si="50"/>
        <v>0</v>
      </c>
      <c r="E293" s="11">
        <f t="shared" ca="1" si="51"/>
        <v>3</v>
      </c>
      <c r="F293" s="36">
        <f t="shared" ca="1" si="52"/>
        <v>1.146053863141189</v>
      </c>
      <c r="G293" s="11">
        <f t="shared" ca="1" si="53"/>
        <v>3.4152269716638275E-2</v>
      </c>
      <c r="H293" s="11">
        <f t="shared" ca="1" si="54"/>
        <v>5.7007354309724104E-2</v>
      </c>
      <c r="I293" s="11">
        <f t="shared" ca="1" si="55"/>
        <v>1.3044915331075782E-2</v>
      </c>
      <c r="J293" s="11">
        <f t="shared" ca="1" si="56"/>
        <v>90</v>
      </c>
      <c r="K293" s="11">
        <f t="shared" ca="1" si="57"/>
        <v>117</v>
      </c>
      <c r="L293" s="11">
        <f t="shared" ca="1" si="58"/>
        <v>65</v>
      </c>
      <c r="M293" s="11">
        <f ca="1">MAX(MAX(0,($J293*(1+0.5*Acuity_M))-(Model!$G$24*(1+OTCapPct)*(Cap_Doc*$C293*(1-$G293)))),MAX(0,($J293)-(Model!$G$6*(1+OTCapPct)*(Cap_Nurse*$C293*(1-$H293)))),MAX(0,($J293)-(Model!$G$15*(1+OTCapPct)*(Cap_Tech*$C293*(1-$I293)))),MAX(0,$J293-((BedsCurrent+BedsAdded)*ShiftHours*$F293/BedHr_M)),MAX(0,$J293*Acuity_M-(ImgBase+ImgExpOn*ImgExpAdd)),MAX(0,$J293-(LabBase+LabExpOn*LabExpAdd)))</f>
        <v>2.1079173088096468</v>
      </c>
      <c r="N293" s="11">
        <f ca="1">MAX(MAX(0,($K293*(1+0.5*Acuity_E))-(Model!$G$25*(1+OTCapPct)*(Cap_Doc*$C293*(1-$G293)))),MAX(0,($K293)-(Model!$G$7*(1+OTCapPct)*(Cap_Nurse*$C293*(1-$H293)))),MAX(0,($K293)-(Model!$G$16*(1+OTCapPct)*(Cap_Tech*$C293*(1-$I293)))),MAX(0,$K293-((BedsCurrent+BedsAdded)*ShiftHours*$F293/BedHr_E)),MAX(0,$K293*Acuity_E-(ImgBase+ImgExpOn*ImgExpAdd)),MAX(0,$K293-(LabBase+LabExpOn*LabExpAdd)))</f>
        <v>22</v>
      </c>
      <c r="O293" s="11">
        <f ca="1">MAX(MAX(0,($L293*(1+0.5*Acuity_N))-(Model!$G$26*(1+OTCapPct)*(Cap_Doc*$C293*(1-$G293)))),MAX(0,($L293)-(Model!$G$8*(1+OTCapPct)*(Cap_Nurse*$C293*(1-$H293)))),MAX(0,($L293)-(Model!$G$17*(1+OTCapPct)*(Cap_Tech*$C293*(1-$I293)))),MAX(0,$L293-((BedsCurrent+BedsAdded)*ShiftHours*$F293/BedHr_N)),MAX(0,$L293*Acuity_N-(ImgBase+ImgExpOn*ImgExpAdd)),MAX(0,$L293-(LabBase+LabExpOn*LabExpAdd)))</f>
        <v>0</v>
      </c>
      <c r="P293" s="11">
        <f t="shared" ca="1" si="59"/>
        <v>24.107917308809647</v>
      </c>
      <c r="Q293" s="17">
        <f ca="1">((MIN(OTCapPct*Model!$G$24,MAX(0,(($J293*(1+0.5*Acuity_M))/(Cap_Doc*$C293*(1-$G293)))-Model!$G$24)))*OTCost_Doc)+((MIN(OTCapPct*Model!$G$6,MAX(0,(($J293)/(Cap_Nurse*$C293*(1-$H293)))-Model!$G$6)))*OTCost_Nurse)+((MIN(OTCapPct*Model!$G$15,MAX(0,(($J293)/(Cap_Tech*$C293*(1-$I293)))-Model!$G$15)))*OTCost_Tech)+((MIN(OTCapPct*Model!$G$25,MAX(0,(($K293*(1+0.5*Acuity_E))/(Cap_Doc*$C293*(1-$G293)))-Model!$G$25)))*OTCost_Doc)+((MIN(OTCapPct*Model!$G$7,MAX(0,(($K293)/(Cap_Nurse*$C293*(1-$H293)))-Model!$G$7)))*OTCost_Nurse)+((MIN(OTCapPct*Model!$G$16,MAX(0,(($K293)/(Cap_Tech*$C293*(1-$I293)))-Model!$G$16)))*OTCost_Tech)+((MIN(OTCapPct*Model!$G$26,MAX(0,(($L293*(1+0.5*Acuity_N))/(Cap_Doc*$C293*(1-$G293)))-Model!$G$26)))*OTCost_Doc)+((MIN(OTCapPct*Model!$G$8,MAX(0,(($L293)/(Cap_Nurse*$C293*(1-$H293)))-Model!$G$8)))*OTCost_Nurse)+((MIN(OTCapPct*Model!$G$17,MAX(0,(($L293)/(Cap_Tech*$C293*(1-$I293)))-Model!$G$17)))*OTCost_Tech)</f>
        <v>75323.494320652011</v>
      </c>
    </row>
    <row r="294" spans="1:17" x14ac:dyDescent="0.25">
      <c r="A294" s="11">
        <v>290</v>
      </c>
      <c r="B294" s="11" t="str">
        <f t="shared" ca="1" si="48"/>
        <v>Complex</v>
      </c>
      <c r="C294" s="11">
        <f t="shared" ca="1" si="49"/>
        <v>0.9</v>
      </c>
      <c r="D294" s="11">
        <f t="shared" ca="1" si="50"/>
        <v>0</v>
      </c>
      <c r="E294" s="11">
        <f t="shared" ca="1" si="51"/>
        <v>2</v>
      </c>
      <c r="F294" s="36">
        <f t="shared" ca="1" si="52"/>
        <v>1.160044079654609</v>
      </c>
      <c r="G294" s="11">
        <f t="shared" ca="1" si="53"/>
        <v>0</v>
      </c>
      <c r="H294" s="11">
        <f t="shared" ca="1" si="54"/>
        <v>6.0764409578445075E-2</v>
      </c>
      <c r="I294" s="11">
        <f t="shared" ca="1" si="55"/>
        <v>0</v>
      </c>
      <c r="J294" s="11">
        <f t="shared" ca="1" si="56"/>
        <v>97</v>
      </c>
      <c r="K294" s="11">
        <f t="shared" ca="1" si="57"/>
        <v>156</v>
      </c>
      <c r="L294" s="11">
        <f t="shared" ca="1" si="58"/>
        <v>76</v>
      </c>
      <c r="M294" s="11">
        <f ca="1">MAX(MAX(0,($J294*(1+0.5*Acuity_M))-(Model!$G$24*(1+OTCapPct)*(Cap_Doc*$C294*(1-$G294)))),MAX(0,($J294)-(Model!$G$6*(1+OTCapPct)*(Cap_Nurse*$C294*(1-$H294)))),MAX(0,($J294)-(Model!$G$15*(1+OTCapPct)*(Cap_Tech*$C294*(1-$I294)))),MAX(0,$J294-((BedsCurrent+BedsAdded)*ShiftHours*$F294/BedHr_M)),MAX(0,$J294*Acuity_M-(ImgBase+ImgExpOn*ImgExpAdd)),MAX(0,$J294-(LabBase+LabExpOn*LabExpAdd)))</f>
        <v>8.2422367051630516</v>
      </c>
      <c r="N294" s="11">
        <f ca="1">MAX(MAX(0,($K294*(1+0.5*Acuity_E))-(Model!$G$25*(1+OTCapPct)*(Cap_Doc*$C294*(1-$G294)))),MAX(0,($K294)-(Model!$G$7*(1+OTCapPct)*(Cap_Nurse*$C294*(1-$H294)))),MAX(0,($K294)-(Model!$G$16*(1+OTCapPct)*(Cap_Tech*$C294*(1-$I294)))),MAX(0,$K294-((BedsCurrent+BedsAdded)*ShiftHours*$F294/BedHr_E)),MAX(0,$K294*Acuity_E-(ImgBase+ImgExpOn*ImgExpAdd)),MAX(0,$K294-(LabBase+LabExpOn*LabExpAdd)))</f>
        <v>61</v>
      </c>
      <c r="O294" s="11">
        <f ca="1">MAX(MAX(0,($L294*(1+0.5*Acuity_N))-(Model!$G$26*(1+OTCapPct)*(Cap_Doc*$C294*(1-$G294)))),MAX(0,($L294)-(Model!$G$8*(1+OTCapPct)*(Cap_Nurse*$C294*(1-$H294)))),MAX(0,($L294)-(Model!$G$17*(1+OTCapPct)*(Cap_Tech*$C294*(1-$I294)))),MAX(0,$L294-((BedsCurrent+BedsAdded)*ShiftHours*$F294/BedHr_N)),MAX(0,$L294*Acuity_N-(ImgBase+ImgExpOn*ImgExpAdd)),MAX(0,$L294-(LabBase+LabExpOn*LabExpAdd)))</f>
        <v>6.3999999999999915</v>
      </c>
      <c r="P294" s="11">
        <f t="shared" ca="1" si="59"/>
        <v>75.642236705163043</v>
      </c>
      <c r="Q294" s="17">
        <f ca="1">((MIN(OTCapPct*Model!$G$24,MAX(0,(($J294*(1+0.5*Acuity_M))/(Cap_Doc*$C294*(1-$G294)))-Model!$G$24)))*OTCost_Doc)+((MIN(OTCapPct*Model!$G$6,MAX(0,(($J294)/(Cap_Nurse*$C294*(1-$H294)))-Model!$G$6)))*OTCost_Nurse)+((MIN(OTCapPct*Model!$G$15,MAX(0,(($J294)/(Cap_Tech*$C294*(1-$I294)))-Model!$G$15)))*OTCost_Tech)+((MIN(OTCapPct*Model!$G$25,MAX(0,(($K294*(1+0.5*Acuity_E))/(Cap_Doc*$C294*(1-$G294)))-Model!$G$25)))*OTCost_Doc)+((MIN(OTCapPct*Model!$G$7,MAX(0,(($K294)/(Cap_Nurse*$C294*(1-$H294)))-Model!$G$7)))*OTCost_Nurse)+((MIN(OTCapPct*Model!$G$16,MAX(0,(($K294)/(Cap_Tech*$C294*(1-$I294)))-Model!$G$16)))*OTCost_Tech)+((MIN(OTCapPct*Model!$G$26,MAX(0,(($L294*(1+0.5*Acuity_N))/(Cap_Doc*$C294*(1-$G294)))-Model!$G$26)))*OTCost_Doc)+((MIN(OTCapPct*Model!$G$8,MAX(0,(($L294)/(Cap_Nurse*$C294*(1-$H294)))-Model!$G$8)))*OTCost_Nurse)+((MIN(OTCapPct*Model!$G$17,MAX(0,(($L294)/(Cap_Tech*$C294*(1-$I294)))-Model!$G$17)))*OTCost_Tech)</f>
        <v>99287.928346739602</v>
      </c>
    </row>
    <row r="295" spans="1:17" x14ac:dyDescent="0.25">
      <c r="A295" s="11">
        <v>291</v>
      </c>
      <c r="B295" s="11" t="str">
        <f t="shared" ca="1" si="48"/>
        <v>Normal</v>
      </c>
      <c r="C295" s="11">
        <f t="shared" ca="1" si="49"/>
        <v>1</v>
      </c>
      <c r="D295" s="11">
        <f t="shared" ca="1" si="50"/>
        <v>0</v>
      </c>
      <c r="E295" s="11">
        <f t="shared" ca="1" si="51"/>
        <v>2</v>
      </c>
      <c r="F295" s="36">
        <f t="shared" ca="1" si="52"/>
        <v>1.0016560522566578</v>
      </c>
      <c r="G295" s="11">
        <f t="shared" ca="1" si="53"/>
        <v>0.10039453583473046</v>
      </c>
      <c r="H295" s="11">
        <f t="shared" ca="1" si="54"/>
        <v>0</v>
      </c>
      <c r="I295" s="11">
        <f t="shared" ca="1" si="55"/>
        <v>0.14685978258948368</v>
      </c>
      <c r="J295" s="11">
        <f t="shared" ca="1" si="56"/>
        <v>77</v>
      </c>
      <c r="K295" s="11">
        <f t="shared" ca="1" si="57"/>
        <v>147</v>
      </c>
      <c r="L295" s="11">
        <f t="shared" ca="1" si="58"/>
        <v>77</v>
      </c>
      <c r="M295" s="11">
        <f ca="1">MAX(MAX(0,($J295*(1+0.5*Acuity_M))-(Model!$G$24*(1+OTCapPct)*(Cap_Doc*$C295*(1-$G295)))),MAX(0,($J295)-(Model!$G$6*(1+OTCapPct)*(Cap_Nurse*$C295*(1-$H295)))),MAX(0,($J295)-(Model!$G$15*(1+OTCapPct)*(Cap_Tech*$C295*(1-$I295)))),MAX(0,$J295-((BedsCurrent+BedsAdded)*ShiftHours*$F295/BedHr_M)),MAX(0,$J295*Acuity_M-(ImgBase+ImgExpOn*ImgExpAdd)),MAX(0,$J295-(LabBase+LabExpOn*LabExpAdd)))</f>
        <v>0</v>
      </c>
      <c r="N295" s="11">
        <f ca="1">MAX(MAX(0,($K295*(1+0.5*Acuity_E))-(Model!$G$25*(1+OTCapPct)*(Cap_Doc*$C295*(1-$G295)))),MAX(0,($K295)-(Model!$G$7*(1+OTCapPct)*(Cap_Nurse*$C295*(1-$H295)))),MAX(0,($K295)-(Model!$G$16*(1+OTCapPct)*(Cap_Tech*$C295*(1-$I295)))),MAX(0,$K295-((BedsCurrent+BedsAdded)*ShiftHours*$F295/BedHr_E)),MAX(0,$K295*Acuity_E-(ImgBase+ImgExpOn*ImgExpAdd)),MAX(0,$K295-(LabBase+LabExpOn*LabExpAdd)))</f>
        <v>52</v>
      </c>
      <c r="O295" s="11">
        <f ca="1">MAX(MAX(0,($L295*(1+0.5*Acuity_N))-(Model!$G$26*(1+OTCapPct)*(Cap_Doc*$C295*(1-$G295)))),MAX(0,($L295)-(Model!$G$8*(1+OTCapPct)*(Cap_Nurse*$C295*(1-$H295)))),MAX(0,($L295)-(Model!$G$17*(1+OTCapPct)*(Cap_Tech*$C295*(1-$I295)))),MAX(0,$L295-((BedsCurrent+BedsAdded)*ShiftHours*$F295/BedHr_N)),MAX(0,$L295*Acuity_N-(ImgBase+ImgExpOn*ImgExpAdd)),MAX(0,$L295-(LabBase+LabExpOn*LabExpAdd)))</f>
        <v>7.5855082251257357</v>
      </c>
      <c r="P295" s="11">
        <f t="shared" ca="1" si="59"/>
        <v>59.585508225125736</v>
      </c>
      <c r="Q295" s="17">
        <f ca="1">((MIN(OTCapPct*Model!$G$24,MAX(0,(($J295*(1+0.5*Acuity_M))/(Cap_Doc*$C295*(1-$G295)))-Model!$G$24)))*OTCost_Doc)+((MIN(OTCapPct*Model!$G$6,MAX(0,(($J295)/(Cap_Nurse*$C295*(1-$H295)))-Model!$G$6)))*OTCost_Nurse)+((MIN(OTCapPct*Model!$G$15,MAX(0,(($J295)/(Cap_Tech*$C295*(1-$I295)))-Model!$G$15)))*OTCost_Tech)+((MIN(OTCapPct*Model!$G$25,MAX(0,(($K295*(1+0.5*Acuity_E))/(Cap_Doc*$C295*(1-$G295)))-Model!$G$25)))*OTCost_Doc)+((MIN(OTCapPct*Model!$G$7,MAX(0,(($K295)/(Cap_Nurse*$C295*(1-$H295)))-Model!$G$7)))*OTCost_Nurse)+((MIN(OTCapPct*Model!$G$16,MAX(0,(($K295)/(Cap_Tech*$C295*(1-$I295)))-Model!$G$16)))*OTCost_Tech)+((MIN(OTCapPct*Model!$G$26,MAX(0,(($L295*(1+0.5*Acuity_N))/(Cap_Doc*$C295*(1-$G295)))-Model!$G$26)))*OTCost_Doc)+((MIN(OTCapPct*Model!$G$8,MAX(0,(($L295)/(Cap_Nurse*$C295*(1-$H295)))-Model!$G$8)))*OTCost_Nurse)+((MIN(OTCapPct*Model!$G$17,MAX(0,(($L295)/(Cap_Tech*$C295*(1-$I295)))-Model!$G$17)))*OTCost_Tech)</f>
        <v>63299.503607062114</v>
      </c>
    </row>
    <row r="296" spans="1:17" x14ac:dyDescent="0.25">
      <c r="A296" s="11">
        <v>292</v>
      </c>
      <c r="B296" s="11" t="str">
        <f t="shared" ca="1" si="48"/>
        <v>Normal</v>
      </c>
      <c r="C296" s="11">
        <f t="shared" ca="1" si="49"/>
        <v>1</v>
      </c>
      <c r="D296" s="11">
        <f t="shared" ca="1" si="50"/>
        <v>0</v>
      </c>
      <c r="E296" s="11">
        <f t="shared" ca="1" si="51"/>
        <v>1</v>
      </c>
      <c r="F296" s="36">
        <f t="shared" ca="1" si="52"/>
        <v>0.818265301140085</v>
      </c>
      <c r="G296" s="11">
        <f t="shared" ca="1" si="53"/>
        <v>1.8002877844074394E-3</v>
      </c>
      <c r="H296" s="11">
        <f t="shared" ca="1" si="54"/>
        <v>8.2570299511554368E-2</v>
      </c>
      <c r="I296" s="11">
        <f t="shared" ca="1" si="55"/>
        <v>0.16179684052449542</v>
      </c>
      <c r="J296" s="11">
        <f t="shared" ca="1" si="56"/>
        <v>86</v>
      </c>
      <c r="K296" s="11">
        <f t="shared" ca="1" si="57"/>
        <v>151</v>
      </c>
      <c r="L296" s="11">
        <f t="shared" ca="1" si="58"/>
        <v>67</v>
      </c>
      <c r="M296" s="11">
        <f ca="1">MAX(MAX(0,($J296*(1+0.5*Acuity_M))-(Model!$G$24*(1+OTCapPct)*(Cap_Doc*$C296*(1-$G296)))),MAX(0,($J296)-(Model!$G$6*(1+OTCapPct)*(Cap_Nurse*$C296*(1-$H296)))),MAX(0,($J296)-(Model!$G$15*(1+OTCapPct)*(Cap_Tech*$C296*(1-$I296)))),MAX(0,$J296-((BedsCurrent+BedsAdded)*ShiftHours*$F296/BedHr_M)),MAX(0,$J296*Acuity_M-(ImgBase+ImgExpOn*ImgExpAdd)),MAX(0,$J296-(LabBase+LabExpOn*LabExpAdd)))</f>
        <v>0</v>
      </c>
      <c r="N296" s="11">
        <f ca="1">MAX(MAX(0,($K296*(1+0.5*Acuity_E))-(Model!$G$25*(1+OTCapPct)*(Cap_Doc*$C296*(1-$G296)))),MAX(0,($K296)-(Model!$G$7*(1+OTCapPct)*(Cap_Nurse*$C296*(1-$H296)))),MAX(0,($K296)-(Model!$G$16*(1+OTCapPct)*(Cap_Tech*$C296*(1-$I296)))),MAX(0,$K296-((BedsCurrent+BedsAdded)*ShiftHours*$F296/BedHr_E)),MAX(0,$K296*Acuity_E-(ImgBase+ImgExpOn*ImgExpAdd)),MAX(0,$K296-(LabBase+LabExpOn*LabExpAdd)))</f>
        <v>61.972735235958751</v>
      </c>
      <c r="O296" s="11">
        <f ca="1">MAX(MAX(0,($L296*(1+0.5*Acuity_N))-(Model!$G$26*(1+OTCapPct)*(Cap_Doc*$C296*(1-$G296)))),MAX(0,($L296)-(Model!$G$8*(1+OTCapPct)*(Cap_Nurse*$C296*(1-$H296)))),MAX(0,($L296)-(Model!$G$17*(1+OTCapPct)*(Cap_Tech*$C296*(1-$I296)))),MAX(0,$L296-((BedsCurrent+BedsAdded)*ShiftHours*$F296/BedHr_N)),MAX(0,$L296*Acuity_N-(ImgBase+ImgExpOn*ImgExpAdd)),MAX(0,$L296-(LabBase+LabExpOn*LabExpAdd)))</f>
        <v>0</v>
      </c>
      <c r="P296" s="11">
        <f t="shared" ca="1" si="59"/>
        <v>61.972735235958751</v>
      </c>
      <c r="Q296" s="17">
        <f ca="1">((MIN(OTCapPct*Model!$G$24,MAX(0,(($J296*(1+0.5*Acuity_M))/(Cap_Doc*$C296*(1-$G296)))-Model!$G$24)))*OTCost_Doc)+((MIN(OTCapPct*Model!$G$6,MAX(0,(($J296)/(Cap_Nurse*$C296*(1-$H296)))-Model!$G$6)))*OTCost_Nurse)+((MIN(OTCapPct*Model!$G$15,MAX(0,(($J296)/(Cap_Tech*$C296*(1-$I296)))-Model!$G$15)))*OTCost_Tech)+((MIN(OTCapPct*Model!$G$25,MAX(0,(($K296*(1+0.5*Acuity_E))/(Cap_Doc*$C296*(1-$G296)))-Model!$G$25)))*OTCost_Doc)+((MIN(OTCapPct*Model!$G$7,MAX(0,(($K296)/(Cap_Nurse*$C296*(1-$H296)))-Model!$G$7)))*OTCost_Nurse)+((MIN(OTCapPct*Model!$G$16,MAX(0,(($K296)/(Cap_Tech*$C296*(1-$I296)))-Model!$G$16)))*OTCost_Tech)+((MIN(OTCapPct*Model!$G$26,MAX(0,(($L296*(1+0.5*Acuity_N))/(Cap_Doc*$C296*(1-$G296)))-Model!$G$26)))*OTCost_Doc)+((MIN(OTCapPct*Model!$G$8,MAX(0,(($L296)/(Cap_Nurse*$C296*(1-$H296)))-Model!$G$8)))*OTCost_Nurse)+((MIN(OTCapPct*Model!$G$17,MAX(0,(($L296)/(Cap_Tech*$C296*(1-$I296)))-Model!$G$17)))*OTCost_Tech)</f>
        <v>60924.813503148929</v>
      </c>
    </row>
    <row r="297" spans="1:17" x14ac:dyDescent="0.25">
      <c r="A297" s="11">
        <v>293</v>
      </c>
      <c r="B297" s="11" t="str">
        <f t="shared" ca="1" si="48"/>
        <v>Complex</v>
      </c>
      <c r="C297" s="11">
        <f t="shared" ca="1" si="49"/>
        <v>0.9</v>
      </c>
      <c r="D297" s="11">
        <f t="shared" ca="1" si="50"/>
        <v>0</v>
      </c>
      <c r="E297" s="11">
        <f t="shared" ca="1" si="51"/>
        <v>3</v>
      </c>
      <c r="F297" s="36">
        <f t="shared" ca="1" si="52"/>
        <v>0.95772717678912311</v>
      </c>
      <c r="G297" s="11">
        <f t="shared" ca="1" si="53"/>
        <v>0.16083915816493999</v>
      </c>
      <c r="H297" s="11">
        <f t="shared" ca="1" si="54"/>
        <v>5.3020994110535506E-2</v>
      </c>
      <c r="I297" s="11">
        <f t="shared" ca="1" si="55"/>
        <v>4.5686907580572589E-2</v>
      </c>
      <c r="J297" s="11">
        <f t="shared" ca="1" si="56"/>
        <v>95</v>
      </c>
      <c r="K297" s="11">
        <f t="shared" ca="1" si="57"/>
        <v>118</v>
      </c>
      <c r="L297" s="11">
        <f t="shared" ca="1" si="58"/>
        <v>50</v>
      </c>
      <c r="M297" s="11">
        <f ca="1">MAX(MAX(0,($J297*(1+0.5*Acuity_M))-(Model!$G$24*(1+OTCapPct)*(Cap_Doc*$C297*(1-$G297)))),MAX(0,($J297)-(Model!$G$6*(1+OTCapPct)*(Cap_Nurse*$C297*(1-$H297)))),MAX(0,($J297)-(Model!$G$15*(1+OTCapPct)*(Cap_Tech*$C297*(1-$I297)))),MAX(0,$J297-((BedsCurrent+BedsAdded)*ShiftHours*$F297/BedHr_M)),MAX(0,$J297*Acuity_M-(ImgBase+ImgExpOn*ImgExpAdd)),MAX(0,$J297-(LabBase+LabExpOn*LabExpAdd)))</f>
        <v>20.484964764200186</v>
      </c>
      <c r="N297" s="11">
        <f ca="1">MAX(MAX(0,($K297*(1+0.5*Acuity_E))-(Model!$G$25*(1+OTCapPct)*(Cap_Doc*$C297*(1-$G297)))),MAX(0,($K297)-(Model!$G$7*(1+OTCapPct)*(Cap_Nurse*$C297*(1-$H297)))),MAX(0,($K297)-(Model!$G$16*(1+OTCapPct)*(Cap_Tech*$C297*(1-$I297)))),MAX(0,$K297-((BedsCurrent+BedsAdded)*ShiftHours*$F297/BedHr_E)),MAX(0,$K297*Acuity_E-(ImgBase+ImgExpOn*ImgExpAdd)),MAX(0,$K297-(LabBase+LabExpOn*LabExpAdd)))</f>
        <v>23</v>
      </c>
      <c r="O297" s="11">
        <f ca="1">MAX(MAX(0,($L297*(1+0.5*Acuity_N))-(Model!$G$26*(1+OTCapPct)*(Cap_Doc*$C297*(1-$G297)))),MAX(0,($L297)-(Model!$G$8*(1+OTCapPct)*(Cap_Nurse*$C297*(1-$H297)))),MAX(0,($L297)-(Model!$G$17*(1+OTCapPct)*(Cap_Tech*$C297*(1-$I297)))),MAX(0,$L297-((BedsCurrent+BedsAdded)*ShiftHours*$F297/BedHr_N)),MAX(0,$L297*Acuity_N-(ImgBase+ImgExpOn*ImgExpAdd)),MAX(0,$L297-(LabBase+LabExpOn*LabExpAdd)))</f>
        <v>0</v>
      </c>
      <c r="P297" s="11">
        <f t="shared" ca="1" si="59"/>
        <v>43.484964764200186</v>
      </c>
      <c r="Q297" s="17">
        <f ca="1">((MIN(OTCapPct*Model!$G$24,MAX(0,(($J297*(1+0.5*Acuity_M))/(Cap_Doc*$C297*(1-$G297)))-Model!$G$24)))*OTCost_Doc)+((MIN(OTCapPct*Model!$G$6,MAX(0,(($J297)/(Cap_Nurse*$C297*(1-$H297)))-Model!$G$6)))*OTCost_Nurse)+((MIN(OTCapPct*Model!$G$15,MAX(0,(($J297)/(Cap_Tech*$C297*(1-$I297)))-Model!$G$15)))*OTCost_Tech)+((MIN(OTCapPct*Model!$G$25,MAX(0,(($K297*(1+0.5*Acuity_E))/(Cap_Doc*$C297*(1-$G297)))-Model!$G$25)))*OTCost_Doc)+((MIN(OTCapPct*Model!$G$7,MAX(0,(($K297)/(Cap_Nurse*$C297*(1-$H297)))-Model!$G$7)))*OTCost_Nurse)+((MIN(OTCapPct*Model!$G$16,MAX(0,(($K297)/(Cap_Tech*$C297*(1-$I297)))-Model!$G$16)))*OTCost_Tech)+((MIN(OTCapPct*Model!$G$26,MAX(0,(($L297*(1+0.5*Acuity_N))/(Cap_Doc*$C297*(1-$G297)))-Model!$G$26)))*OTCost_Doc)+((MIN(OTCapPct*Model!$G$8,MAX(0,(($L297)/(Cap_Nurse*$C297*(1-$H297)))-Model!$G$8)))*OTCost_Nurse)+((MIN(OTCapPct*Model!$G$17,MAX(0,(($L297)/(Cap_Tech*$C297*(1-$I297)))-Model!$G$17)))*OTCost_Tech)</f>
        <v>71303.325447460054</v>
      </c>
    </row>
    <row r="298" spans="1:17" x14ac:dyDescent="0.25">
      <c r="A298" s="11">
        <v>294</v>
      </c>
      <c r="B298" s="11" t="str">
        <f t="shared" ca="1" si="48"/>
        <v>Normal</v>
      </c>
      <c r="C298" s="11">
        <f t="shared" ca="1" si="49"/>
        <v>1</v>
      </c>
      <c r="D298" s="11">
        <f t="shared" ca="1" si="50"/>
        <v>0</v>
      </c>
      <c r="E298" s="11">
        <f t="shared" ca="1" si="51"/>
        <v>2</v>
      </c>
      <c r="F298" s="36">
        <f t="shared" ca="1" si="52"/>
        <v>0.81781103728532645</v>
      </c>
      <c r="G298" s="11">
        <f t="shared" ca="1" si="53"/>
        <v>5.1604497811945732E-2</v>
      </c>
      <c r="H298" s="11">
        <f t="shared" ca="1" si="54"/>
        <v>6.6399673152933422E-2</v>
      </c>
      <c r="I298" s="11">
        <f t="shared" ca="1" si="55"/>
        <v>0</v>
      </c>
      <c r="J298" s="11">
        <f t="shared" ca="1" si="56"/>
        <v>78</v>
      </c>
      <c r="K298" s="11">
        <f t="shared" ca="1" si="57"/>
        <v>143</v>
      </c>
      <c r="L298" s="11">
        <f t="shared" ca="1" si="58"/>
        <v>57</v>
      </c>
      <c r="M298" s="11">
        <f ca="1">MAX(MAX(0,($J298*(1+0.5*Acuity_M))-(Model!$G$24*(1+OTCapPct)*(Cap_Doc*$C298*(1-$G298)))),MAX(0,($J298)-(Model!$G$6*(1+OTCapPct)*(Cap_Nurse*$C298*(1-$H298)))),MAX(0,($J298)-(Model!$G$15*(1+OTCapPct)*(Cap_Tech*$C298*(1-$I298)))),MAX(0,$J298-((BedsCurrent+BedsAdded)*ShiftHours*$F298/BedHr_M)),MAX(0,$J298*Acuity_M-(ImgBase+ImgExpOn*ImgExpAdd)),MAX(0,$J298-(LabBase+LabExpOn*LabExpAdd)))</f>
        <v>0</v>
      </c>
      <c r="N298" s="11">
        <f ca="1">MAX(MAX(0,($K298*(1+0.5*Acuity_E))-(Model!$G$25*(1+OTCapPct)*(Cap_Doc*$C298*(1-$G298)))),MAX(0,($K298)-(Model!$G$7*(1+OTCapPct)*(Cap_Nurse*$C298*(1-$H298)))),MAX(0,($K298)-(Model!$G$16*(1+OTCapPct)*(Cap_Tech*$C298*(1-$I298)))),MAX(0,$K298-((BedsCurrent+BedsAdded)*ShiftHours*$F298/BedHr_E)),MAX(0,$K298*Acuity_E-(ImgBase+ImgExpOn*ImgExpAdd)),MAX(0,$K298-(LabBase+LabExpOn*LabExpAdd)))</f>
        <v>54.02215914335649</v>
      </c>
      <c r="O298" s="11">
        <f ca="1">MAX(MAX(0,($L298*(1+0.5*Acuity_N))-(Model!$G$26*(1+OTCapPct)*(Cap_Doc*$C298*(1-$G298)))),MAX(0,($L298)-(Model!$G$8*(1+OTCapPct)*(Cap_Nurse*$C298*(1-$H298)))),MAX(0,($L298)-(Model!$G$17*(1+OTCapPct)*(Cap_Tech*$C298*(1-$I298)))),MAX(0,$L298-((BedsCurrent+BedsAdded)*ShiftHours*$F298/BedHr_N)),MAX(0,$L298*Acuity_N-(ImgBase+ImgExpOn*ImgExpAdd)),MAX(0,$L298-(LabBase+LabExpOn*LabExpAdd)))</f>
        <v>0</v>
      </c>
      <c r="P298" s="11">
        <f t="shared" ca="1" si="59"/>
        <v>54.02215914335649</v>
      </c>
      <c r="Q298" s="17">
        <f ca="1">((MIN(OTCapPct*Model!$G$24,MAX(0,(($J298*(1+0.5*Acuity_M))/(Cap_Doc*$C298*(1-$G298)))-Model!$G$24)))*OTCost_Doc)+((MIN(OTCapPct*Model!$G$6,MAX(0,(($J298)/(Cap_Nurse*$C298*(1-$H298)))-Model!$G$6)))*OTCost_Nurse)+((MIN(OTCapPct*Model!$G$15,MAX(0,(($J298)/(Cap_Tech*$C298*(1-$I298)))-Model!$G$15)))*OTCost_Tech)+((MIN(OTCapPct*Model!$G$25,MAX(0,(($K298*(1+0.5*Acuity_E))/(Cap_Doc*$C298*(1-$G298)))-Model!$G$25)))*OTCost_Doc)+((MIN(OTCapPct*Model!$G$7,MAX(0,(($K298)/(Cap_Nurse*$C298*(1-$H298)))-Model!$G$7)))*OTCost_Nurse)+((MIN(OTCapPct*Model!$G$16,MAX(0,(($K298)/(Cap_Tech*$C298*(1-$I298)))-Model!$G$16)))*OTCost_Tech)+((MIN(OTCapPct*Model!$G$26,MAX(0,(($L298*(1+0.5*Acuity_N))/(Cap_Doc*$C298*(1-$G298)))-Model!$G$26)))*OTCost_Doc)+((MIN(OTCapPct*Model!$G$8,MAX(0,(($L298)/(Cap_Nurse*$C298*(1-$H298)))-Model!$G$8)))*OTCost_Nurse)+((MIN(OTCapPct*Model!$G$17,MAX(0,(($L298)/(Cap_Tech*$C298*(1-$I298)))-Model!$G$17)))*OTCost_Tech)</f>
        <v>44676.60406024813</v>
      </c>
    </row>
    <row r="299" spans="1:17" x14ac:dyDescent="0.25">
      <c r="A299" s="11">
        <v>295</v>
      </c>
      <c r="B299" s="11" t="str">
        <f t="shared" ca="1" si="48"/>
        <v>Normal</v>
      </c>
      <c r="C299" s="11">
        <f t="shared" ca="1" si="49"/>
        <v>1</v>
      </c>
      <c r="D299" s="11">
        <f t="shared" ca="1" si="50"/>
        <v>0</v>
      </c>
      <c r="E299" s="11">
        <f t="shared" ca="1" si="51"/>
        <v>3</v>
      </c>
      <c r="F299" s="36">
        <f t="shared" ca="1" si="52"/>
        <v>1.1832745159329463</v>
      </c>
      <c r="G299" s="11">
        <f t="shared" ca="1" si="53"/>
        <v>9.6592502451657417E-2</v>
      </c>
      <c r="H299" s="11">
        <f t="shared" ca="1" si="54"/>
        <v>0</v>
      </c>
      <c r="I299" s="11">
        <f t="shared" ca="1" si="55"/>
        <v>0</v>
      </c>
      <c r="J299" s="11">
        <f t="shared" ca="1" si="56"/>
        <v>88</v>
      </c>
      <c r="K299" s="11">
        <f t="shared" ca="1" si="57"/>
        <v>113</v>
      </c>
      <c r="L299" s="11">
        <f t="shared" ca="1" si="58"/>
        <v>66</v>
      </c>
      <c r="M299" s="11">
        <f ca="1">MAX(MAX(0,($J299*(1+0.5*Acuity_M))-(Model!$G$24*(1+OTCapPct)*(Cap_Doc*$C299*(1-$G299)))),MAX(0,($J299)-(Model!$G$6*(1+OTCapPct)*(Cap_Nurse*$C299*(1-$H299)))),MAX(0,($J299)-(Model!$G$15*(1+OTCapPct)*(Cap_Tech*$C299*(1-$I299)))),MAX(0,$J299-((BedsCurrent+BedsAdded)*ShiftHours*$F299/BedHr_M)),MAX(0,$J299*Acuity_M-(ImgBase+ImgExpOn*ImgExpAdd)),MAX(0,$J299-(LabBase+LabExpOn*LabExpAdd)))</f>
        <v>0</v>
      </c>
      <c r="N299" s="11">
        <f ca="1">MAX(MAX(0,($K299*(1+0.5*Acuity_E))-(Model!$G$25*(1+OTCapPct)*(Cap_Doc*$C299*(1-$G299)))),MAX(0,($K299)-(Model!$G$7*(1+OTCapPct)*(Cap_Nurse*$C299*(1-$H299)))),MAX(0,($K299)-(Model!$G$16*(1+OTCapPct)*(Cap_Tech*$C299*(1-$I299)))),MAX(0,$K299-((BedsCurrent+BedsAdded)*ShiftHours*$F299/BedHr_E)),MAX(0,$K299*Acuity_E-(ImgBase+ImgExpOn*ImgExpAdd)),MAX(0,$K299-(LabBase+LabExpOn*LabExpAdd)))</f>
        <v>18</v>
      </c>
      <c r="O299" s="11">
        <f ca="1">MAX(MAX(0,($L299*(1+0.5*Acuity_N))-(Model!$G$26*(1+OTCapPct)*(Cap_Doc*$C299*(1-$G299)))),MAX(0,($L299)-(Model!$G$8*(1+OTCapPct)*(Cap_Nurse*$C299*(1-$H299)))),MAX(0,($L299)-(Model!$G$17*(1+OTCapPct)*(Cap_Tech*$C299*(1-$I299)))),MAX(0,$L299-((BedsCurrent+BedsAdded)*ShiftHours*$F299/BedHr_N)),MAX(0,$L299*Acuity_N-(ImgBase+ImgExpOn*ImgExpAdd)),MAX(0,$L299-(LabBase+LabExpOn*LabExpAdd)))</f>
        <v>0</v>
      </c>
      <c r="P299" s="11">
        <f t="shared" ca="1" si="59"/>
        <v>18</v>
      </c>
      <c r="Q299" s="17">
        <f ca="1">((MIN(OTCapPct*Model!$G$24,MAX(0,(($J299*(1+0.5*Acuity_M))/(Cap_Doc*$C299*(1-$G299)))-Model!$G$24)))*OTCost_Doc)+((MIN(OTCapPct*Model!$G$6,MAX(0,(($J299)/(Cap_Nurse*$C299*(1-$H299)))-Model!$G$6)))*OTCost_Nurse)+((MIN(OTCapPct*Model!$G$15,MAX(0,(($J299)/(Cap_Tech*$C299*(1-$I299)))-Model!$G$15)))*OTCost_Tech)+((MIN(OTCapPct*Model!$G$25,MAX(0,(($K299*(1+0.5*Acuity_E))/(Cap_Doc*$C299*(1-$G299)))-Model!$G$25)))*OTCost_Doc)+((MIN(OTCapPct*Model!$G$7,MAX(0,(($K299)/(Cap_Nurse*$C299*(1-$H299)))-Model!$G$7)))*OTCost_Nurse)+((MIN(OTCapPct*Model!$G$16,MAX(0,(($K299)/(Cap_Tech*$C299*(1-$I299)))-Model!$G$16)))*OTCost_Tech)+((MIN(OTCapPct*Model!$G$26,MAX(0,(($L299*(1+0.5*Acuity_N))/(Cap_Doc*$C299*(1-$G299)))-Model!$G$26)))*OTCost_Doc)+((MIN(OTCapPct*Model!$G$8,MAX(0,(($L299)/(Cap_Nurse*$C299*(1-$H299)))-Model!$G$8)))*OTCost_Nurse)+((MIN(OTCapPct*Model!$G$17,MAX(0,(($L299)/(Cap_Tech*$C299*(1-$I299)))-Model!$G$17)))*OTCost_Tech)</f>
        <v>37216.16605148177</v>
      </c>
    </row>
    <row r="300" spans="1:17" x14ac:dyDescent="0.25">
      <c r="A300" s="11">
        <v>296</v>
      </c>
      <c r="B300" s="11" t="str">
        <f t="shared" ca="1" si="48"/>
        <v>Normal</v>
      </c>
      <c r="C300" s="11">
        <f t="shared" ca="1" si="49"/>
        <v>1</v>
      </c>
      <c r="D300" s="11">
        <f t="shared" ca="1" si="50"/>
        <v>0</v>
      </c>
      <c r="E300" s="11">
        <f t="shared" ca="1" si="51"/>
        <v>3</v>
      </c>
      <c r="F300" s="36">
        <f t="shared" ca="1" si="52"/>
        <v>0.9616922894680725</v>
      </c>
      <c r="G300" s="11">
        <f t="shared" ca="1" si="53"/>
        <v>0.10010194701686186</v>
      </c>
      <c r="H300" s="11">
        <f t="shared" ca="1" si="54"/>
        <v>0</v>
      </c>
      <c r="I300" s="11">
        <f t="shared" ca="1" si="55"/>
        <v>7.5176005150301012E-3</v>
      </c>
      <c r="J300" s="11">
        <f t="shared" ca="1" si="56"/>
        <v>87</v>
      </c>
      <c r="K300" s="11">
        <f t="shared" ca="1" si="57"/>
        <v>80</v>
      </c>
      <c r="L300" s="11">
        <f t="shared" ca="1" si="58"/>
        <v>71</v>
      </c>
      <c r="M300" s="11">
        <f ca="1">MAX(MAX(0,($J300*(1+0.5*Acuity_M))-(Model!$G$24*(1+OTCapPct)*(Cap_Doc*$C300*(1-$G300)))),MAX(0,($J300)-(Model!$G$6*(1+OTCapPct)*(Cap_Nurse*$C300*(1-$H300)))),MAX(0,($J300)-(Model!$G$15*(1+OTCapPct)*(Cap_Tech*$C300*(1-$I300)))),MAX(0,$J300-((BedsCurrent+BedsAdded)*ShiftHours*$F300/BedHr_M)),MAX(0,$J300*Acuity_M-(ImgBase+ImgExpOn*ImgExpAdd)),MAX(0,$J300-(LabBase+LabExpOn*LabExpAdd)))</f>
        <v>0</v>
      </c>
      <c r="N300" s="11">
        <f ca="1">MAX(MAX(0,($K300*(1+0.5*Acuity_E))-(Model!$G$25*(1+OTCapPct)*(Cap_Doc*$C300*(1-$G300)))),MAX(0,($K300)-(Model!$G$7*(1+OTCapPct)*(Cap_Nurse*$C300*(1-$H300)))),MAX(0,($K300)-(Model!$G$16*(1+OTCapPct)*(Cap_Tech*$C300*(1-$I300)))),MAX(0,$K300-((BedsCurrent+BedsAdded)*ShiftHours*$F300/BedHr_E)),MAX(0,$K300*Acuity_E-(ImgBase+ImgExpOn*ImgExpAdd)),MAX(0,$K300-(LabBase+LabExpOn*LabExpAdd)))</f>
        <v>0</v>
      </c>
      <c r="O300" s="11">
        <f ca="1">MAX(MAX(0,($L300*(1+0.5*Acuity_N))-(Model!$G$26*(1+OTCapPct)*(Cap_Doc*$C300*(1-$G300)))),MAX(0,($L300)-(Model!$G$8*(1+OTCapPct)*(Cap_Nurse*$C300*(1-$H300)))),MAX(0,($L300)-(Model!$G$17*(1+OTCapPct)*(Cap_Tech*$C300*(1-$I300)))),MAX(0,$L300-((BedsCurrent+BedsAdded)*ShiftHours*$F300/BedHr_N)),MAX(0,$L300*Acuity_N-(ImgBase+ImgExpOn*ImgExpAdd)),MAX(0,$L300-(LabBase+LabExpOn*LabExpAdd)))</f>
        <v>0.6591752315175512</v>
      </c>
      <c r="P300" s="11">
        <f t="shared" ca="1" si="59"/>
        <v>0.6591752315175512</v>
      </c>
      <c r="Q300" s="17">
        <f ca="1">((MIN(OTCapPct*Model!$G$24,MAX(0,(($J300*(1+0.5*Acuity_M))/(Cap_Doc*$C300*(1-$G300)))-Model!$G$24)))*OTCost_Doc)+((MIN(OTCapPct*Model!$G$6,MAX(0,(($J300)/(Cap_Nurse*$C300*(1-$H300)))-Model!$G$6)))*OTCost_Nurse)+((MIN(OTCapPct*Model!$G$15,MAX(0,(($J300)/(Cap_Tech*$C300*(1-$I300)))-Model!$G$15)))*OTCost_Tech)+((MIN(OTCapPct*Model!$G$25,MAX(0,(($K300*(1+0.5*Acuity_E))/(Cap_Doc*$C300*(1-$G300)))-Model!$G$25)))*OTCost_Doc)+((MIN(OTCapPct*Model!$G$7,MAX(0,(($K300)/(Cap_Nurse*$C300*(1-$H300)))-Model!$G$7)))*OTCost_Nurse)+((MIN(OTCapPct*Model!$G$16,MAX(0,(($K300)/(Cap_Tech*$C300*(1-$I300)))-Model!$G$16)))*OTCost_Tech)+((MIN(OTCapPct*Model!$G$26,MAX(0,(($L300*(1+0.5*Acuity_N))/(Cap_Doc*$C300*(1-$G300)))-Model!$G$26)))*OTCost_Doc)+((MIN(OTCapPct*Model!$G$8,MAX(0,(($L300)/(Cap_Nurse*$C300*(1-$H300)))-Model!$G$8)))*OTCost_Nurse)+((MIN(OTCapPct*Model!$G$17,MAX(0,(($L300)/(Cap_Tech*$C300*(1-$I300)))-Model!$G$17)))*OTCost_Tech)</f>
        <v>28109.116795124472</v>
      </c>
    </row>
    <row r="301" spans="1:17" x14ac:dyDescent="0.25">
      <c r="A301" s="11">
        <v>297</v>
      </c>
      <c r="B301" s="11" t="str">
        <f t="shared" ca="1" si="48"/>
        <v>Normal</v>
      </c>
      <c r="C301" s="11">
        <f t="shared" ca="1" si="49"/>
        <v>1</v>
      </c>
      <c r="D301" s="11">
        <f t="shared" ca="1" si="50"/>
        <v>0</v>
      </c>
      <c r="E301" s="11">
        <f t="shared" ca="1" si="51"/>
        <v>2</v>
      </c>
      <c r="F301" s="36">
        <f t="shared" ca="1" si="52"/>
        <v>0.98869974126998494</v>
      </c>
      <c r="G301" s="11">
        <f t="shared" ca="1" si="53"/>
        <v>0</v>
      </c>
      <c r="H301" s="11">
        <f t="shared" ca="1" si="54"/>
        <v>7.9867060934813328E-2</v>
      </c>
      <c r="I301" s="11">
        <f t="shared" ca="1" si="55"/>
        <v>2.0906044001879003E-2</v>
      </c>
      <c r="J301" s="11">
        <f t="shared" ca="1" si="56"/>
        <v>75</v>
      </c>
      <c r="K301" s="11">
        <f t="shared" ca="1" si="57"/>
        <v>114</v>
      </c>
      <c r="L301" s="11">
        <f t="shared" ca="1" si="58"/>
        <v>47</v>
      </c>
      <c r="M301" s="11">
        <f ca="1">MAX(MAX(0,($J301*(1+0.5*Acuity_M))-(Model!$G$24*(1+OTCapPct)*(Cap_Doc*$C301*(1-$G301)))),MAX(0,($J301)-(Model!$G$6*(1+OTCapPct)*(Cap_Nurse*$C301*(1-$H301)))),MAX(0,($J301)-(Model!$G$15*(1+OTCapPct)*(Cap_Tech*$C301*(1-$I301)))),MAX(0,$J301-((BedsCurrent+BedsAdded)*ShiftHours*$F301/BedHr_M)),MAX(0,$J301*Acuity_M-(ImgBase+ImgExpOn*ImgExpAdd)),MAX(0,$J301-(LabBase+LabExpOn*LabExpAdd)))</f>
        <v>0</v>
      </c>
      <c r="N301" s="11">
        <f ca="1">MAX(MAX(0,($K301*(1+0.5*Acuity_E))-(Model!$G$25*(1+OTCapPct)*(Cap_Doc*$C301*(1-$G301)))),MAX(0,($K301)-(Model!$G$7*(1+OTCapPct)*(Cap_Nurse*$C301*(1-$H301)))),MAX(0,($K301)-(Model!$G$16*(1+OTCapPct)*(Cap_Tech*$C301*(1-$I301)))),MAX(0,$K301-((BedsCurrent+BedsAdded)*ShiftHours*$F301/BedHr_E)),MAX(0,$K301*Acuity_E-(ImgBase+ImgExpOn*ImgExpAdd)),MAX(0,$K301-(LabBase+LabExpOn*LabExpAdd)))</f>
        <v>19</v>
      </c>
      <c r="O301" s="11">
        <f ca="1">MAX(MAX(0,($L301*(1+0.5*Acuity_N))-(Model!$G$26*(1+OTCapPct)*(Cap_Doc*$C301*(1-$G301)))),MAX(0,($L301)-(Model!$G$8*(1+OTCapPct)*(Cap_Nurse*$C301*(1-$H301)))),MAX(0,($L301)-(Model!$G$17*(1+OTCapPct)*(Cap_Tech*$C301*(1-$I301)))),MAX(0,$L301-((BedsCurrent+BedsAdded)*ShiftHours*$F301/BedHr_N)),MAX(0,$L301*Acuity_N-(ImgBase+ImgExpOn*ImgExpAdd)),MAX(0,$L301-(LabBase+LabExpOn*LabExpAdd)))</f>
        <v>0</v>
      </c>
      <c r="P301" s="11">
        <f t="shared" ca="1" si="59"/>
        <v>19</v>
      </c>
      <c r="Q301" s="17">
        <f ca="1">((MIN(OTCapPct*Model!$G$24,MAX(0,(($J301*(1+0.5*Acuity_M))/(Cap_Doc*$C301*(1-$G301)))-Model!$G$24)))*OTCost_Doc)+((MIN(OTCapPct*Model!$G$6,MAX(0,(($J301)/(Cap_Nurse*$C301*(1-$H301)))-Model!$G$6)))*OTCost_Nurse)+((MIN(OTCapPct*Model!$G$15,MAX(0,(($J301)/(Cap_Tech*$C301*(1-$I301)))-Model!$G$15)))*OTCost_Tech)+((MIN(OTCapPct*Model!$G$25,MAX(0,(($K301*(1+0.5*Acuity_E))/(Cap_Doc*$C301*(1-$G301)))-Model!$G$25)))*OTCost_Doc)+((MIN(OTCapPct*Model!$G$7,MAX(0,(($K301)/(Cap_Nurse*$C301*(1-$H301)))-Model!$G$7)))*OTCost_Nurse)+((MIN(OTCapPct*Model!$G$16,MAX(0,(($K301)/(Cap_Tech*$C301*(1-$I301)))-Model!$G$16)))*OTCost_Tech)+((MIN(OTCapPct*Model!$G$26,MAX(0,(($L301*(1+0.5*Acuity_N))/(Cap_Doc*$C301*(1-$G301)))-Model!$G$26)))*OTCost_Doc)+((MIN(OTCapPct*Model!$G$8,MAX(0,(($L301)/(Cap_Nurse*$C301*(1-$H301)))-Model!$G$8)))*OTCost_Nurse)+((MIN(OTCapPct*Model!$G$17,MAX(0,(($L301)/(Cap_Tech*$C301*(1-$I301)))-Model!$G$17)))*OTCost_Tech)</f>
        <v>5079.8679096687947</v>
      </c>
    </row>
    <row r="302" spans="1:17" x14ac:dyDescent="0.25">
      <c r="A302" s="11">
        <v>298</v>
      </c>
      <c r="B302" s="11" t="str">
        <f t="shared" ca="1" si="48"/>
        <v>Normal</v>
      </c>
      <c r="C302" s="11">
        <f t="shared" ca="1" si="49"/>
        <v>1</v>
      </c>
      <c r="D302" s="11">
        <f t="shared" ca="1" si="50"/>
        <v>0</v>
      </c>
      <c r="E302" s="11">
        <f t="shared" ca="1" si="51"/>
        <v>2</v>
      </c>
      <c r="F302" s="36">
        <f t="shared" ca="1" si="52"/>
        <v>1.0816045171668582</v>
      </c>
      <c r="G302" s="11">
        <f t="shared" ca="1" si="53"/>
        <v>8.5736129620756107E-2</v>
      </c>
      <c r="H302" s="11">
        <f t="shared" ca="1" si="54"/>
        <v>7.6051426149450943E-2</v>
      </c>
      <c r="I302" s="11">
        <f t="shared" ca="1" si="55"/>
        <v>9.9640714380579323E-2</v>
      </c>
      <c r="J302" s="11">
        <f t="shared" ca="1" si="56"/>
        <v>78</v>
      </c>
      <c r="K302" s="11">
        <f t="shared" ca="1" si="57"/>
        <v>112</v>
      </c>
      <c r="L302" s="11">
        <f t="shared" ca="1" si="58"/>
        <v>68</v>
      </c>
      <c r="M302" s="11">
        <f ca="1">MAX(MAX(0,($J302*(1+0.5*Acuity_M))-(Model!$G$24*(1+OTCapPct)*(Cap_Doc*$C302*(1-$G302)))),MAX(0,($J302)-(Model!$G$6*(1+OTCapPct)*(Cap_Nurse*$C302*(1-$H302)))),MAX(0,($J302)-(Model!$G$15*(1+OTCapPct)*(Cap_Tech*$C302*(1-$I302)))),MAX(0,$J302-((BedsCurrent+BedsAdded)*ShiftHours*$F302/BedHr_M)),MAX(0,$J302*Acuity_M-(ImgBase+ImgExpOn*ImgExpAdd)),MAX(0,$J302-(LabBase+LabExpOn*LabExpAdd)))</f>
        <v>0</v>
      </c>
      <c r="N302" s="11">
        <f ca="1">MAX(MAX(0,($K302*(1+0.5*Acuity_E))-(Model!$G$25*(1+OTCapPct)*(Cap_Doc*$C302*(1-$G302)))),MAX(0,($K302)-(Model!$G$7*(1+OTCapPct)*(Cap_Nurse*$C302*(1-$H302)))),MAX(0,($K302)-(Model!$G$16*(1+OTCapPct)*(Cap_Tech*$C302*(1-$I302)))),MAX(0,$K302-((BedsCurrent+BedsAdded)*ShiftHours*$F302/BedHr_E)),MAX(0,$K302*Acuity_E-(ImgBase+ImgExpOn*ImgExpAdd)),MAX(0,$K302-(LabBase+LabExpOn*LabExpAdd)))</f>
        <v>17</v>
      </c>
      <c r="O302" s="11">
        <f ca="1">MAX(MAX(0,($L302*(1+0.5*Acuity_N))-(Model!$G$26*(1+OTCapPct)*(Cap_Doc*$C302*(1-$G302)))),MAX(0,($L302)-(Model!$G$8*(1+OTCapPct)*(Cap_Nurse*$C302*(1-$H302)))),MAX(0,($L302)-(Model!$G$17*(1+OTCapPct)*(Cap_Tech*$C302*(1-$I302)))),MAX(0,$L302-((BedsCurrent+BedsAdded)*ShiftHours*$F302/BedHr_N)),MAX(0,$L302*Acuity_N-(ImgBase+ImgExpOn*ImgExpAdd)),MAX(0,$L302-(LabBase+LabExpOn*LabExpAdd)))</f>
        <v>0</v>
      </c>
      <c r="P302" s="11">
        <f t="shared" ca="1" si="59"/>
        <v>17</v>
      </c>
      <c r="Q302" s="17">
        <f ca="1">((MIN(OTCapPct*Model!$G$24,MAX(0,(($J302*(1+0.5*Acuity_M))/(Cap_Doc*$C302*(1-$G302)))-Model!$G$24)))*OTCost_Doc)+((MIN(OTCapPct*Model!$G$6,MAX(0,(($J302)/(Cap_Nurse*$C302*(1-$H302)))-Model!$G$6)))*OTCost_Nurse)+((MIN(OTCapPct*Model!$G$15,MAX(0,(($J302)/(Cap_Tech*$C302*(1-$I302)))-Model!$G$15)))*OTCost_Tech)+((MIN(OTCapPct*Model!$G$25,MAX(0,(($K302*(1+0.5*Acuity_E))/(Cap_Doc*$C302*(1-$G302)))-Model!$G$25)))*OTCost_Doc)+((MIN(OTCapPct*Model!$G$7,MAX(0,(($K302)/(Cap_Nurse*$C302*(1-$H302)))-Model!$G$7)))*OTCost_Nurse)+((MIN(OTCapPct*Model!$G$16,MAX(0,(($K302)/(Cap_Tech*$C302*(1-$I302)))-Model!$G$16)))*OTCost_Tech)+((MIN(OTCapPct*Model!$G$26,MAX(0,(($L302*(1+0.5*Acuity_N))/(Cap_Doc*$C302*(1-$G302)))-Model!$G$26)))*OTCost_Doc)+((MIN(OTCapPct*Model!$G$8,MAX(0,(($L302)/(Cap_Nurse*$C302*(1-$H302)))-Model!$G$8)))*OTCost_Nurse)+((MIN(OTCapPct*Model!$G$17,MAX(0,(($L302)/(Cap_Tech*$C302*(1-$I302)))-Model!$G$17)))*OTCost_Tech)</f>
        <v>26399.796822948472</v>
      </c>
    </row>
    <row r="303" spans="1:17" x14ac:dyDescent="0.25">
      <c r="A303" s="11">
        <v>299</v>
      </c>
      <c r="B303" s="11" t="str">
        <f t="shared" ca="1" si="48"/>
        <v>Normal</v>
      </c>
      <c r="C303" s="11">
        <f t="shared" ca="1" si="49"/>
        <v>1</v>
      </c>
      <c r="D303" s="11">
        <f t="shared" ca="1" si="50"/>
        <v>0</v>
      </c>
      <c r="E303" s="11">
        <f t="shared" ca="1" si="51"/>
        <v>3</v>
      </c>
      <c r="F303" s="36">
        <f t="shared" ca="1" si="52"/>
        <v>1.1411898850909643</v>
      </c>
      <c r="G303" s="11">
        <f t="shared" ca="1" si="53"/>
        <v>7.8865922782734021E-2</v>
      </c>
      <c r="H303" s="11">
        <f t="shared" ca="1" si="54"/>
        <v>2.3234089517872279E-2</v>
      </c>
      <c r="I303" s="11">
        <f t="shared" ca="1" si="55"/>
        <v>0.13287964481189796</v>
      </c>
      <c r="J303" s="11">
        <f t="shared" ca="1" si="56"/>
        <v>79</v>
      </c>
      <c r="K303" s="11">
        <f t="shared" ca="1" si="57"/>
        <v>133</v>
      </c>
      <c r="L303" s="11">
        <f t="shared" ca="1" si="58"/>
        <v>64</v>
      </c>
      <c r="M303" s="11">
        <f ca="1">MAX(MAX(0,($J303*(1+0.5*Acuity_M))-(Model!$G$24*(1+OTCapPct)*(Cap_Doc*$C303*(1-$G303)))),MAX(0,($J303)-(Model!$G$6*(1+OTCapPct)*(Cap_Nurse*$C303*(1-$H303)))),MAX(0,($J303)-(Model!$G$15*(1+OTCapPct)*(Cap_Tech*$C303*(1-$I303)))),MAX(0,$J303-((BedsCurrent+BedsAdded)*ShiftHours*$F303/BedHr_M)),MAX(0,$J303*Acuity_M-(ImgBase+ImgExpOn*ImgExpAdd)),MAX(0,$J303-(LabBase+LabExpOn*LabExpAdd)))</f>
        <v>0</v>
      </c>
      <c r="N303" s="11">
        <f ca="1">MAX(MAX(0,($K303*(1+0.5*Acuity_E))-(Model!$G$25*(1+OTCapPct)*(Cap_Doc*$C303*(1-$G303)))),MAX(0,($K303)-(Model!$G$7*(1+OTCapPct)*(Cap_Nurse*$C303*(1-$H303)))),MAX(0,($K303)-(Model!$G$16*(1+OTCapPct)*(Cap_Tech*$C303*(1-$I303)))),MAX(0,$K303-((BedsCurrent+BedsAdded)*ShiftHours*$F303/BedHr_E)),MAX(0,$K303*Acuity_E-(ImgBase+ImgExpOn*ImgExpAdd)),MAX(0,$K303-(LabBase+LabExpOn*LabExpAdd)))</f>
        <v>38</v>
      </c>
      <c r="O303" s="11">
        <f ca="1">MAX(MAX(0,($L303*(1+0.5*Acuity_N))-(Model!$G$26*(1+OTCapPct)*(Cap_Doc*$C303*(1-$G303)))),MAX(0,($L303)-(Model!$G$8*(1+OTCapPct)*(Cap_Nurse*$C303*(1-$H303)))),MAX(0,($L303)-(Model!$G$17*(1+OTCapPct)*(Cap_Tech*$C303*(1-$I303)))),MAX(0,$L303-((BedsCurrent+BedsAdded)*ShiftHours*$F303/BedHr_N)),MAX(0,$L303*Acuity_N-(ImgBase+ImgExpOn*ImgExpAdd)),MAX(0,$L303-(LabBase+LabExpOn*LabExpAdd)))</f>
        <v>0</v>
      </c>
      <c r="P303" s="11">
        <f t="shared" ca="1" si="59"/>
        <v>38</v>
      </c>
      <c r="Q303" s="17">
        <f ca="1">((MIN(OTCapPct*Model!$G$24,MAX(0,(($J303*(1+0.5*Acuity_M))/(Cap_Doc*$C303*(1-$G303)))-Model!$G$24)))*OTCost_Doc)+((MIN(OTCapPct*Model!$G$6,MAX(0,(($J303)/(Cap_Nurse*$C303*(1-$H303)))-Model!$G$6)))*OTCost_Nurse)+((MIN(OTCapPct*Model!$G$15,MAX(0,(($J303)/(Cap_Tech*$C303*(1-$I303)))-Model!$G$15)))*OTCost_Tech)+((MIN(OTCapPct*Model!$G$25,MAX(0,(($K303*(1+0.5*Acuity_E))/(Cap_Doc*$C303*(1-$G303)))-Model!$G$25)))*OTCost_Doc)+((MIN(OTCapPct*Model!$G$7,MAX(0,(($K303)/(Cap_Nurse*$C303*(1-$H303)))-Model!$G$7)))*OTCost_Nurse)+((MIN(OTCapPct*Model!$G$16,MAX(0,(($K303)/(Cap_Tech*$C303*(1-$I303)))-Model!$G$16)))*OTCost_Tech)+((MIN(OTCapPct*Model!$G$26,MAX(0,(($L303*(1+0.5*Acuity_N))/(Cap_Doc*$C303*(1-$G303)))-Model!$G$26)))*OTCost_Doc)+((MIN(OTCapPct*Model!$G$8,MAX(0,(($L303)/(Cap_Nurse*$C303*(1-$H303)))-Model!$G$8)))*OTCost_Nurse)+((MIN(OTCapPct*Model!$G$17,MAX(0,(($L303)/(Cap_Tech*$C303*(1-$I303)))-Model!$G$17)))*OTCost_Tech)</f>
        <v>47389.193147033533</v>
      </c>
    </row>
    <row r="304" spans="1:17" x14ac:dyDescent="0.25">
      <c r="A304" s="11">
        <v>300</v>
      </c>
      <c r="B304" s="11" t="str">
        <f t="shared" ca="1" si="48"/>
        <v>Complex</v>
      </c>
      <c r="C304" s="11">
        <f t="shared" ca="1" si="49"/>
        <v>0.9</v>
      </c>
      <c r="D304" s="11">
        <f t="shared" ca="1" si="50"/>
        <v>0</v>
      </c>
      <c r="E304" s="11">
        <f t="shared" ca="1" si="51"/>
        <v>1</v>
      </c>
      <c r="F304" s="36">
        <f t="shared" ca="1" si="52"/>
        <v>1.0162568999586348</v>
      </c>
      <c r="G304" s="11">
        <f t="shared" ca="1" si="53"/>
        <v>4.1698471869571936E-2</v>
      </c>
      <c r="H304" s="11">
        <f t="shared" ca="1" si="54"/>
        <v>0.10094262334537057</v>
      </c>
      <c r="I304" s="11">
        <f t="shared" ca="1" si="55"/>
        <v>8.0457960875779222E-2</v>
      </c>
      <c r="J304" s="11">
        <f t="shared" ca="1" si="56"/>
        <v>76</v>
      </c>
      <c r="K304" s="11">
        <f t="shared" ca="1" si="57"/>
        <v>134</v>
      </c>
      <c r="L304" s="11">
        <f t="shared" ca="1" si="58"/>
        <v>64</v>
      </c>
      <c r="M304" s="11">
        <f ca="1">MAX(MAX(0,($J304*(1+0.5*Acuity_M))-(Model!$G$24*(1+OTCapPct)*(Cap_Doc*$C304*(1-$G304)))),MAX(0,($J304)-(Model!$G$6*(1+OTCapPct)*(Cap_Nurse*$C304*(1-$H304)))),MAX(0,($J304)-(Model!$G$15*(1+OTCapPct)*(Cap_Tech*$C304*(1-$I304)))),MAX(0,$J304-((BedsCurrent+BedsAdded)*ShiftHours*$F304/BedHr_M)),MAX(0,$J304*Acuity_M-(ImgBase+ImgExpOn*ImgExpAdd)),MAX(0,$J304-(LabBase+LabExpOn*LabExpAdd)))</f>
        <v>0</v>
      </c>
      <c r="N304" s="11">
        <f ca="1">MAX(MAX(0,($K304*(1+0.5*Acuity_E))-(Model!$G$25*(1+OTCapPct)*(Cap_Doc*$C304*(1-$G304)))),MAX(0,($K304)-(Model!$G$7*(1+OTCapPct)*(Cap_Nurse*$C304*(1-$H304)))),MAX(0,($K304)-(Model!$G$16*(1+OTCapPct)*(Cap_Tech*$C304*(1-$I304)))),MAX(0,$K304-((BedsCurrent+BedsAdded)*ShiftHours*$F304/BedHr_E)),MAX(0,$K304*Acuity_E-(ImgBase+ImgExpOn*ImgExpAdd)),MAX(0,$K304-(LabBase+LabExpOn*LabExpAdd)))</f>
        <v>39</v>
      </c>
      <c r="O304" s="11">
        <f ca="1">MAX(MAX(0,($L304*(1+0.5*Acuity_N))-(Model!$G$26*(1+OTCapPct)*(Cap_Doc*$C304*(1-$G304)))),MAX(0,($L304)-(Model!$G$8*(1+OTCapPct)*(Cap_Nurse*$C304*(1-$H304)))),MAX(0,($L304)-(Model!$G$17*(1+OTCapPct)*(Cap_Tech*$C304*(1-$I304)))),MAX(0,$L304-((BedsCurrent+BedsAdded)*ShiftHours*$F304/BedHr_N)),MAX(0,$L304*Acuity_N-(ImgBase+ImgExpOn*ImgExpAdd)),MAX(0,$L304-(LabBase+LabExpOn*LabExpAdd)))</f>
        <v>0</v>
      </c>
      <c r="P304" s="11">
        <f t="shared" ca="1" si="59"/>
        <v>39</v>
      </c>
      <c r="Q304" s="17">
        <f ca="1">((MIN(OTCapPct*Model!$G$24,MAX(0,(($J304*(1+0.5*Acuity_M))/(Cap_Doc*$C304*(1-$G304)))-Model!$G$24)))*OTCost_Doc)+((MIN(OTCapPct*Model!$G$6,MAX(0,(($J304)/(Cap_Nurse*$C304*(1-$H304)))-Model!$G$6)))*OTCost_Nurse)+((MIN(OTCapPct*Model!$G$15,MAX(0,(($J304)/(Cap_Tech*$C304*(1-$I304)))-Model!$G$15)))*OTCost_Tech)+((MIN(OTCapPct*Model!$G$25,MAX(0,(($K304*(1+0.5*Acuity_E))/(Cap_Doc*$C304*(1-$G304)))-Model!$G$25)))*OTCost_Doc)+((MIN(OTCapPct*Model!$G$7,MAX(0,(($K304)/(Cap_Nurse*$C304*(1-$H304)))-Model!$G$7)))*OTCost_Nurse)+((MIN(OTCapPct*Model!$G$16,MAX(0,(($K304)/(Cap_Tech*$C304*(1-$I304)))-Model!$G$16)))*OTCost_Tech)+((MIN(OTCapPct*Model!$G$26,MAX(0,(($L304*(1+0.5*Acuity_N))/(Cap_Doc*$C304*(1-$G304)))-Model!$G$26)))*OTCost_Doc)+((MIN(OTCapPct*Model!$G$8,MAX(0,(($L304)/(Cap_Nurse*$C304*(1-$H304)))-Model!$G$8)))*OTCost_Nurse)+((MIN(OTCapPct*Model!$G$17,MAX(0,(($L304)/(Cap_Tech*$C304*(1-$I304)))-Model!$G$17)))*OTCost_Tech)</f>
        <v>70261.16314931029</v>
      </c>
    </row>
    <row r="306" spans="1:4" ht="15.75" x14ac:dyDescent="0.25">
      <c r="A306" s="3" t="s">
        <v>181</v>
      </c>
      <c r="B306" s="4"/>
      <c r="C306" s="4"/>
      <c r="D306" s="4"/>
    </row>
    <row r="307" spans="1:4" x14ac:dyDescent="0.25">
      <c r="A307" s="20" t="s">
        <v>182</v>
      </c>
      <c r="B307" s="37">
        <f>300</f>
        <v>300</v>
      </c>
    </row>
    <row r="308" spans="1:4" x14ac:dyDescent="0.25">
      <c r="A308" s="20" t="s">
        <v>183</v>
      </c>
      <c r="B308" s="21" t="e">
        <f>AVERAGE(#REF!)</f>
        <v>#REF!</v>
      </c>
    </row>
    <row r="309" spans="1:4" x14ac:dyDescent="0.25">
      <c r="A309" s="20" t="s">
        <v>184</v>
      </c>
      <c r="B309" s="21">
        <f ca="1">COUNTIF(M5:O304,"&gt;0")/(300*3)</f>
        <v>0.51888888888888884</v>
      </c>
    </row>
    <row r="310" spans="1:4" x14ac:dyDescent="0.25">
      <c r="A310" s="20" t="s">
        <v>185</v>
      </c>
      <c r="B310" s="22">
        <f ca="1">AVERAGE(P5:P304)</f>
        <v>34.803421226068103</v>
      </c>
    </row>
    <row r="311" spans="1:4" x14ac:dyDescent="0.25">
      <c r="A311" s="20" t="s">
        <v>186</v>
      </c>
      <c r="B311" s="22">
        <f ca="1">AVERAGE(P5:P304)*DivertShare</f>
        <v>10.441026367820431</v>
      </c>
    </row>
    <row r="312" spans="1:4" x14ac:dyDescent="0.25">
      <c r="A312" s="20" t="s">
        <v>187</v>
      </c>
      <c r="B312" s="19">
        <f ca="1">AVERAGE(Q5:Q304)</f>
        <v>51280.999979677006</v>
      </c>
    </row>
    <row r="313" spans="1:4" x14ac:dyDescent="0.25">
      <c r="A313" s="20" t="s">
        <v>188</v>
      </c>
      <c r="B313" s="22">
        <f ca="1">PERCENTILE(P5:P304,0.95)</f>
        <v>70.878831347414007</v>
      </c>
    </row>
    <row r="314" spans="1:4" x14ac:dyDescent="0.25">
      <c r="A314" s="20" t="s">
        <v>189</v>
      </c>
      <c r="B314" s="22">
        <f ca="1">MAX(M5:O304)</f>
        <v>99</v>
      </c>
    </row>
    <row r="315" spans="1:4" x14ac:dyDescent="0.25">
      <c r="A315" s="20" t="s">
        <v>190</v>
      </c>
      <c r="B315" s="38">
        <f ca="1">AVERAGE(M5:M304)</f>
        <v>4.0859894582245389</v>
      </c>
    </row>
    <row r="316" spans="1:4" x14ac:dyDescent="0.25">
      <c r="A316" s="20" t="s">
        <v>191</v>
      </c>
      <c r="B316" s="38">
        <f ca="1">AVERAGE(N5:N304)</f>
        <v>28.308896984680572</v>
      </c>
    </row>
    <row r="317" spans="1:4" x14ac:dyDescent="0.25">
      <c r="A317" s="20" t="s">
        <v>192</v>
      </c>
      <c r="B317" s="38">
        <f ca="1">AVERAGE(O5:O304)</f>
        <v>2.4085347831630188</v>
      </c>
    </row>
    <row r="318" spans="1:4" x14ac:dyDescent="0.25">
      <c r="A318" s="18" t="s">
        <v>193</v>
      </c>
      <c r="B318" s="20" t="str">
        <f ca="1">IF(AND(B315&gt;=B316,B315&gt;=B317),"Morning",IF(B316&gt;=B317,"Evening","Night"))</f>
        <v>Evening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61</vt:i4>
      </vt:variant>
    </vt:vector>
  </HeadingPairs>
  <TitlesOfParts>
    <vt:vector size="66" baseType="lpstr">
      <vt:lpstr>Inputs</vt:lpstr>
      <vt:lpstr>Model</vt:lpstr>
      <vt:lpstr>Strategy Comparison</vt:lpstr>
      <vt:lpstr>Sensitivity</vt:lpstr>
      <vt:lpstr>Simulation</vt:lpstr>
      <vt:lpstr>Acuity_E</vt:lpstr>
      <vt:lpstr>Acuity_M</vt:lpstr>
      <vt:lpstr>Acuity_N</vt:lpstr>
      <vt:lpstr>Arr_E</vt:lpstr>
      <vt:lpstr>Arr_M</vt:lpstr>
      <vt:lpstr>Arr_N</vt:lpstr>
      <vt:lpstr>Avail_Doc</vt:lpstr>
      <vt:lpstr>Avail_Nurse</vt:lpstr>
      <vt:lpstr>Avail_Tech</vt:lpstr>
      <vt:lpstr>BaseAbsence_Doc</vt:lpstr>
      <vt:lpstr>BaseAbsence_Nurse</vt:lpstr>
      <vt:lpstr>BaseAbsence_Tech</vt:lpstr>
      <vt:lpstr>BedCostPerBed</vt:lpstr>
      <vt:lpstr>BedHr_E</vt:lpstr>
      <vt:lpstr>BedHr_M</vt:lpstr>
      <vt:lpstr>BedHr_N</vt:lpstr>
      <vt:lpstr>BedHrVariability</vt:lpstr>
      <vt:lpstr>BedsAdded</vt:lpstr>
      <vt:lpstr>BedsCurrent</vt:lpstr>
      <vt:lpstr>BedsMax</vt:lpstr>
      <vt:lpstr>Cap_Doc</vt:lpstr>
      <vt:lpstr>Cap_Nurse</vt:lpstr>
      <vt:lpstr>Cap_Tech</vt:lpstr>
      <vt:lpstr>DivertShare</vt:lpstr>
      <vt:lpstr>DocAbsence</vt:lpstr>
      <vt:lpstr>DocUnavail</vt:lpstr>
      <vt:lpstr>ImgBase</vt:lpstr>
      <vt:lpstr>ImgExpAdd</vt:lpstr>
      <vt:lpstr>ImgExpCost</vt:lpstr>
      <vt:lpstr>ImgExpOn</vt:lpstr>
      <vt:lpstr>IncidentOn</vt:lpstr>
      <vt:lpstr>IncidentSeverity</vt:lpstr>
      <vt:lpstr>IncidentShiftNum</vt:lpstr>
      <vt:lpstr>LabBase</vt:lpstr>
      <vt:lpstr>LabExpAdd</vt:lpstr>
      <vt:lpstr>LabExpCost</vt:lpstr>
      <vt:lpstr>LabExpOn</vt:lpstr>
      <vt:lpstr>NumTrials</vt:lpstr>
      <vt:lpstr>NurseAbsence</vt:lpstr>
      <vt:lpstr>NurseUnavail</vt:lpstr>
      <vt:lpstr>OTCapPct</vt:lpstr>
      <vt:lpstr>OTCost_Doc</vt:lpstr>
      <vt:lpstr>OTCost_Nurse</vt:lpstr>
      <vt:lpstr>OTCost_Tech</vt:lpstr>
      <vt:lpstr>P_Complex</vt:lpstr>
      <vt:lpstr>P_Incident</vt:lpstr>
      <vt:lpstr>P_Normal</vt:lpstr>
      <vt:lpstr>P_Severe</vt:lpstr>
      <vt:lpstr>PenBedHr</vt:lpstr>
      <vt:lpstr>PenDiverted</vt:lpstr>
      <vt:lpstr>PenUncovered</vt:lpstr>
      <vt:lpstr>RegCost_Doc</vt:lpstr>
      <vt:lpstr>RegCost_Nurse</vt:lpstr>
      <vt:lpstr>RegCost_Tech</vt:lpstr>
      <vt:lpstr>SD_E</vt:lpstr>
      <vt:lpstr>SD_M</vt:lpstr>
      <vt:lpstr>SD_N</vt:lpstr>
      <vt:lpstr>ServiceTarget</vt:lpstr>
      <vt:lpstr>ShiftHours</vt:lpstr>
      <vt:lpstr>TechAbsence</vt:lpstr>
      <vt:lpstr>TechUnavail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ANAND TURUP - 261600080304 - TAPMIMPL</cp:lastModifiedBy>
  <cp:revision>0</cp:revision>
  <dcterms:created xsi:type="dcterms:W3CDTF">2026-09-19T17:17:21Z</dcterms:created>
  <dcterms:modified xsi:type="dcterms:W3CDTF">2026-09-19T19:46:06Z</dcterms:modified>
  <dc:language>en-US</dc:language>
</cp:coreProperties>
</file>